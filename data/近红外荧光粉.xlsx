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AIPD - 中期\data\"/>
    </mc:Choice>
  </mc:AlternateContent>
  <xr:revisionPtr revIDLastSave="0" documentId="13_ncr:1_{8EE8BF46-F57B-4EB7-B831-DD1D7CE10AA5}" xr6:coauthVersionLast="47" xr6:coauthVersionMax="47" xr10:uidLastSave="{00000000-0000-0000-0000-000000000000}"/>
  <bookViews>
    <workbookView xWindow="5970" yWindow="394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1" l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/>
</calcChain>
</file>

<file path=xl/sharedStrings.xml><?xml version="1.0" encoding="utf-8"?>
<sst xmlns="http://schemas.openxmlformats.org/spreadsheetml/2006/main" count="370" uniqueCount="114">
  <si>
    <t>Gd2MgTiO6Bi0.002Cr0.001</t>
  </si>
  <si>
    <t>Gd2MgTiO6</t>
  </si>
  <si>
    <t>Bi3+</t>
  </si>
  <si>
    <t>Cr3+</t>
  </si>
  <si>
    <t>https://doi.org/10.1111/jace.18011</t>
  </si>
  <si>
    <t/>
  </si>
  <si>
    <t>Journal of the American Ceramic Society</t>
  </si>
  <si>
    <t>Gd2MgTiO6Cr0.001</t>
  </si>
  <si>
    <t>K3LuSi2O7Eu0.01</t>
  </si>
  <si>
    <t>K3LuSi2O7</t>
  </si>
  <si>
    <t>Eu2+</t>
  </si>
  <si>
    <t>https://doi.org/10.1038/s41467-019-13293-0</t>
    <phoneticPr fontId="5" type="noConversion"/>
  </si>
  <si>
    <t>mp-557543</t>
  </si>
  <si>
    <t xml:space="preserve"> icsd-412528</t>
  </si>
  <si>
    <t>Nature Communications</t>
  </si>
  <si>
    <t>K3LuSi2O7Eu0.02</t>
  </si>
  <si>
    <t>https://doi.org/10.1038/s41467-019-13293-0</t>
  </si>
  <si>
    <t>K3LuSi2O7Eu0.03</t>
  </si>
  <si>
    <t>Ga1.87In0.1O3Cr0.03</t>
  </si>
  <si>
    <t>Ga1.87In0.1O3</t>
  </si>
  <si>
    <t>https://doi.org/10.1021/acsami.1c05949</t>
  </si>
  <si>
    <t>mp-886,mp-1243,mp-1244900,mp-1245167,mp-1244938,mp-1245018,mp-1244932,mp-685090,mp-13134</t>
  </si>
  <si>
    <t xml:space="preserve"> icsd-603563 icsd-184327 icsd-166198 icsd-34243 icsd-83645 icsd-33644 icsd-635016 icsd-166199 icsd-27431 icsd-162252</t>
  </si>
  <si>
    <t>ACS Applied Materials &amp;amp; Interfaces</t>
  </si>
  <si>
    <t>Ga1.87In0.1O3Cr0.03</t>
    <phoneticPr fontId="5" type="noConversion"/>
  </si>
  <si>
    <t>Ga1.87In0.1O3</t>
    <phoneticPr fontId="5" type="noConversion"/>
  </si>
  <si>
    <t>mp-886,mp-1243,mp-1244900,mp-1245167,mp-1244938,mp-1245018,mp-1244932,mp-685090,mp-13134</t>
    <phoneticPr fontId="5" type="noConversion"/>
  </si>
  <si>
    <t>K2NaSc0.9F6Cr0.1</t>
  </si>
  <si>
    <t>K2NaSc0.9F6</t>
  </si>
  <si>
    <t>https://doi.org/10.1002/lpor.202000410</t>
  </si>
  <si>
    <t>mp-6058</t>
  </si>
  <si>
    <t xml:space="preserve"> icsd-22112 icsd-65730</t>
  </si>
  <si>
    <t>Laser and Photonics Reviews</t>
  </si>
  <si>
    <t>LaMgGa10.8O19Cr0.2</t>
  </si>
  <si>
    <t>LaMgGa10.8O19</t>
  </si>
  <si>
    <t>https://doi.org/10.1039/D0QI00063A</t>
  </si>
  <si>
    <t>Inorganic Chemistry Frontiers</t>
  </si>
  <si>
    <t>Ga1.77In0.2O3Cr0.03</t>
  </si>
  <si>
    <t>Ga1.77In0.2O3</t>
  </si>
  <si>
    <t>Ga1.77In0.2O3Cr0.03</t>
    <phoneticPr fontId="5" type="noConversion"/>
  </si>
  <si>
    <t>Ga1.77In0.2O3</t>
    <phoneticPr fontId="5" type="noConversion"/>
  </si>
  <si>
    <t>Ga1.67In0.3O3Cr0.03</t>
    <phoneticPr fontId="5" type="noConversion"/>
  </si>
  <si>
    <t>Ga1.67In0.3O3</t>
    <phoneticPr fontId="5" type="noConversion"/>
  </si>
  <si>
    <t>Ga1.67In0.3O3Cr0.03</t>
  </si>
  <si>
    <t>Ga1.67In0.3O3</t>
  </si>
  <si>
    <t>Sc0.99BO3Cr0.01</t>
  </si>
  <si>
    <t>Sc0.99BO3</t>
    <phoneticPr fontId="5" type="noConversion"/>
  </si>
  <si>
    <t>https://doi.org/10.1039/C8RA01084F</t>
    <phoneticPr fontId="5" type="noConversion"/>
  </si>
  <si>
    <t>mp-8697</t>
  </si>
  <si>
    <t xml:space="preserve"> icsd-65010 icsd-195099</t>
  </si>
  <si>
    <t>RSC Advances</t>
  </si>
  <si>
    <t>Sc0.98BO3Cr0.02</t>
  </si>
  <si>
    <t>Sc0.98BO3</t>
    <phoneticPr fontId="5" type="noConversion"/>
  </si>
  <si>
    <t>https://doi.org/10.1039/C8RA01084F</t>
  </si>
  <si>
    <t>Sc0.97BO3Cr0.03</t>
  </si>
  <si>
    <t>Sc0.97BO3</t>
    <phoneticPr fontId="5" type="noConversion"/>
  </si>
  <si>
    <t>Sc0.95BO3Cr0.05</t>
  </si>
  <si>
    <t>Sc0.95BO3</t>
    <phoneticPr fontId="5" type="noConversion"/>
  </si>
  <si>
    <t>Sc0.92BO3Cr0.08</t>
  </si>
  <si>
    <t>Sc0.92BO3</t>
    <phoneticPr fontId="5" type="noConversion"/>
  </si>
  <si>
    <t>Ga1.57In0.4O3Cr0.03</t>
    <phoneticPr fontId="5" type="noConversion"/>
  </si>
  <si>
    <t>Ga1.57In0.4O3</t>
    <phoneticPr fontId="5" type="noConversion"/>
  </si>
  <si>
    <t>Ga1.57In0.4O3Cr0.03</t>
  </si>
  <si>
    <t>Ga1.57In0.4O3</t>
  </si>
  <si>
    <t>Ga1.47In0.5O3Cr0.03</t>
  </si>
  <si>
    <t>Ga1.47In0.5O3</t>
  </si>
  <si>
    <t>Ga1.47In0.5O3Cr0.03</t>
    <phoneticPr fontId="5" type="noConversion"/>
  </si>
  <si>
    <t>Ga1.47In0.5O3</t>
    <phoneticPr fontId="5" type="noConversion"/>
  </si>
  <si>
    <t>La2Mg0.99Zr0.99O6Cr0.02</t>
  </si>
  <si>
    <t>La2Mg0.99Zr0.99O6</t>
  </si>
  <si>
    <t>https://doi.org/10.1021/acs.chemmater.9b01587</t>
  </si>
  <si>
    <t>mp-1223208</t>
  </si>
  <si>
    <t>Chemistry of Materials</t>
  </si>
  <si>
    <t>NaIn0.99P2O7Cr0.01</t>
  </si>
  <si>
    <t>NaIn0.99P2O7</t>
    <phoneticPr fontId="5" type="noConversion"/>
  </si>
  <si>
    <t>https://doi.org/10.1016/j.jlumin.2022.118909</t>
    <phoneticPr fontId="5" type="noConversion"/>
  </si>
  <si>
    <t>Journal of Luminescence</t>
  </si>
  <si>
    <t>NaIn0.98P2O7Cr0.02</t>
  </si>
  <si>
    <t>NaIn0.98P2O7</t>
    <phoneticPr fontId="5" type="noConversion"/>
  </si>
  <si>
    <t>NaIn0.96P2O7Cr0.04</t>
  </si>
  <si>
    <t>NaIn0.96P2O7</t>
    <phoneticPr fontId="5" type="noConversion"/>
  </si>
  <si>
    <t>NaIn0.94P2O7Cr0.06</t>
  </si>
  <si>
    <t>NaIn0.94P2O7</t>
    <phoneticPr fontId="5" type="noConversion"/>
  </si>
  <si>
    <t>NaIn0.92P2O7Cr0.08</t>
  </si>
  <si>
    <t>NaIn0.92P2O7</t>
    <phoneticPr fontId="5" type="noConversion"/>
  </si>
  <si>
    <t>NaIn0.9P2O7Cr0.1</t>
  </si>
  <si>
    <t>NaIn0.9P2O7</t>
    <phoneticPr fontId="5" type="noConversion"/>
  </si>
  <si>
    <t>LiScP2O7Cr0.01</t>
  </si>
  <si>
    <t>LiScP2O7</t>
  </si>
  <si>
    <t>https://doi.org/10.1021/acs.chemmater.9b04934</t>
    <phoneticPr fontId="5" type="noConversion"/>
  </si>
  <si>
    <t>mp-10517</t>
  </si>
  <si>
    <t xml:space="preserve"> icsd-91496</t>
  </si>
  <si>
    <t>LiScP2O7Cr0.03</t>
  </si>
  <si>
    <t>https://doi.org/10.1021/acs.chemmater.9b04934</t>
  </si>
  <si>
    <t>LiScP2O7Cr0.05</t>
  </si>
  <si>
    <t>LiScP2O7Cr0.06</t>
  </si>
  <si>
    <t>LiScP2O7Cr0.07</t>
  </si>
  <si>
    <t>LiScP2O7Cr0.09</t>
  </si>
  <si>
    <t>LiScP2O7Cr0.06Yb0.003</t>
  </si>
  <si>
    <t>Yb3+</t>
  </si>
  <si>
    <t>LiScP2O7Cr0.06Yb0.005</t>
  </si>
  <si>
    <t>LiScP2O7Cr0.06Yb0.01</t>
  </si>
  <si>
    <t>LiScP2O7Cr0.06Yb0.03</t>
  </si>
  <si>
    <t>LiScP2O7Cr0.06Yb0.05</t>
  </si>
  <si>
    <t>LiScGeO4Cr0.005</t>
  </si>
  <si>
    <t>LiScGeO4</t>
  </si>
  <si>
    <t>https://doi.org/10.1021/acsami.1c10490</t>
    <phoneticPr fontId="5" type="noConversion"/>
  </si>
  <si>
    <t>mp-504948</t>
  </si>
  <si>
    <t xml:space="preserve"> icsd-62481</t>
  </si>
  <si>
    <t>LiScGeO4Cr0.01</t>
  </si>
  <si>
    <t>https://doi.org/10.1021/acsami.1c10490</t>
  </si>
  <si>
    <t>LiScGeO4Cr0.02</t>
  </si>
  <si>
    <t>LiScGeO4Cr0.03</t>
  </si>
  <si>
    <t>LiScGeO4Cr0.05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</si>
</sst>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color theme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</cellXfs>
  <cellStyles count="3">
    <cellStyle name="常规" xfId="0" builtinId="0"/>
    <cellStyle name="超链接" xfId="1" builtinId="8"/>
    <cellStyle name="표준 2" xfId="2" xr:uid="{9CE70E0A-98BC-4D3C-B635-88CFE6C70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lumin.2022.118909" TargetMode="External"/><Relationship Id="rId3" Type="http://schemas.openxmlformats.org/officeDocument/2006/relationships/hyperlink" Target="https://doi.org/10.1021/acs.chemmater.9b04934" TargetMode="External"/><Relationship Id="rId7" Type="http://schemas.openxmlformats.org/officeDocument/2006/relationships/hyperlink" Target="https://doi.org/10.1016/j.jlumin.2022.118909" TargetMode="External"/><Relationship Id="rId2" Type="http://schemas.openxmlformats.org/officeDocument/2006/relationships/hyperlink" Target="https://doi.org/10.1038/s41467-019-13293-0" TargetMode="External"/><Relationship Id="rId1" Type="http://schemas.openxmlformats.org/officeDocument/2006/relationships/hyperlink" Target="https://doi.org/10.1111/jace.16644" TargetMode="External"/><Relationship Id="rId6" Type="http://schemas.openxmlformats.org/officeDocument/2006/relationships/hyperlink" Target="https://doi.org/10.1016/j.jlumin.2022.118909" TargetMode="External"/><Relationship Id="rId11" Type="http://schemas.openxmlformats.org/officeDocument/2006/relationships/hyperlink" Target="https://doi.org/10.1016/j.jlumin.2022.118909" TargetMode="External"/><Relationship Id="rId5" Type="http://schemas.openxmlformats.org/officeDocument/2006/relationships/hyperlink" Target="https://doi.org/10.1039/C8RA01084F" TargetMode="External"/><Relationship Id="rId10" Type="http://schemas.openxmlformats.org/officeDocument/2006/relationships/hyperlink" Target="https://doi.org/10.1016/j.jlumin.2022.118909" TargetMode="External"/><Relationship Id="rId4" Type="http://schemas.openxmlformats.org/officeDocument/2006/relationships/hyperlink" Target="https://doi.org/10.1021/acsami.1c10490" TargetMode="External"/><Relationship Id="rId9" Type="http://schemas.openxmlformats.org/officeDocument/2006/relationships/hyperlink" Target="https://doi.org/10.1016/j.jlumin.2022.1189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workbookViewId="0">
      <selection activeCell="K8" sqref="A1:K53"/>
    </sheetView>
  </sheetViews>
  <sheetFormatPr defaultColWidth="9" defaultRowHeight="14" x14ac:dyDescent="0.25"/>
  <sheetData>
    <row r="1" spans="1:26" s="8" customFormat="1" x14ac:dyDescent="0.25">
      <c r="A1" s="1">
        <v>737</v>
      </c>
      <c r="B1" s="2">
        <v>2665</v>
      </c>
      <c r="C1" s="3" t="s">
        <v>0</v>
      </c>
      <c r="D1" s="3" t="s">
        <v>1</v>
      </c>
      <c r="E1" s="3" t="s">
        <v>2</v>
      </c>
      <c r="F1" s="3">
        <v>2E-3</v>
      </c>
      <c r="G1" s="3" t="s">
        <v>3</v>
      </c>
      <c r="H1" s="3">
        <v>1E-3</v>
      </c>
      <c r="I1" s="3">
        <f t="shared" ref="I1:I23" si="0">25+273</f>
        <v>298</v>
      </c>
      <c r="J1" s="1">
        <v>737</v>
      </c>
      <c r="K1" s="1"/>
      <c r="L1" s="1"/>
      <c r="M1" s="1">
        <v>19.100000000000001</v>
      </c>
      <c r="N1" s="1"/>
      <c r="O1" s="1">
        <v>463</v>
      </c>
      <c r="P1" s="4">
        <v>375</v>
      </c>
      <c r="Q1" s="5">
        <v>375</v>
      </c>
      <c r="R1" s="5"/>
      <c r="S1" s="5"/>
      <c r="T1" s="5"/>
      <c r="U1" s="6">
        <v>737</v>
      </c>
      <c r="V1" s="2" t="s">
        <v>4</v>
      </c>
      <c r="W1" s="2"/>
      <c r="X1" s="7" t="s">
        <v>5</v>
      </c>
      <c r="Y1" s="2" t="s">
        <v>6</v>
      </c>
      <c r="Z1" s="2">
        <v>2021</v>
      </c>
    </row>
    <row r="2" spans="1:26" s="8" customFormat="1" x14ac:dyDescent="0.25">
      <c r="A2" s="1">
        <v>737</v>
      </c>
      <c r="B2" s="2">
        <v>2666</v>
      </c>
      <c r="C2" s="3" t="s">
        <v>7</v>
      </c>
      <c r="D2" s="3" t="s">
        <v>1</v>
      </c>
      <c r="E2" s="3" t="s">
        <v>3</v>
      </c>
      <c r="F2" s="3">
        <v>1E-3</v>
      </c>
      <c r="G2" s="3"/>
      <c r="H2" s="3"/>
      <c r="I2" s="3">
        <f t="shared" si="0"/>
        <v>298</v>
      </c>
      <c r="J2" s="1">
        <v>737</v>
      </c>
      <c r="K2" s="1"/>
      <c r="L2" s="1"/>
      <c r="M2" s="1"/>
      <c r="N2" s="1"/>
      <c r="O2" s="1">
        <v>463</v>
      </c>
      <c r="P2" s="4">
        <v>340</v>
      </c>
      <c r="Q2" s="5">
        <v>340</v>
      </c>
      <c r="R2" s="5"/>
      <c r="S2" s="5"/>
      <c r="T2" s="5"/>
      <c r="U2" s="6">
        <v>737</v>
      </c>
      <c r="V2" s="2" t="s">
        <v>4</v>
      </c>
      <c r="W2" s="2"/>
      <c r="X2" s="7" t="s">
        <v>5</v>
      </c>
      <c r="Y2" s="2" t="s">
        <v>6</v>
      </c>
      <c r="Z2" s="2">
        <v>2021</v>
      </c>
    </row>
    <row r="3" spans="1:26" s="8" customFormat="1" x14ac:dyDescent="0.25">
      <c r="A3" s="1">
        <v>740</v>
      </c>
      <c r="B3" s="2">
        <v>3796</v>
      </c>
      <c r="C3" s="3" t="s">
        <v>8</v>
      </c>
      <c r="D3" s="3" t="s">
        <v>9</v>
      </c>
      <c r="E3" s="3" t="s">
        <v>10</v>
      </c>
      <c r="F3" s="3">
        <v>0.01</v>
      </c>
      <c r="G3" s="3"/>
      <c r="H3" s="3"/>
      <c r="I3" s="3">
        <f t="shared" si="0"/>
        <v>298</v>
      </c>
      <c r="J3" s="1">
        <v>740</v>
      </c>
      <c r="K3" s="1"/>
      <c r="L3" s="1"/>
      <c r="M3" s="1"/>
      <c r="N3" s="1"/>
      <c r="O3" s="1">
        <v>475</v>
      </c>
      <c r="P3" s="4">
        <v>460</v>
      </c>
      <c r="Q3" s="5">
        <v>460</v>
      </c>
      <c r="R3" s="5"/>
      <c r="S3" s="5"/>
      <c r="T3" s="5">
        <v>1580</v>
      </c>
      <c r="U3" s="6">
        <v>740</v>
      </c>
      <c r="V3" s="9" t="s">
        <v>11</v>
      </c>
      <c r="W3" s="2" t="s">
        <v>12</v>
      </c>
      <c r="X3" s="7" t="s">
        <v>13</v>
      </c>
      <c r="Y3" s="2" t="s">
        <v>14</v>
      </c>
      <c r="Z3" s="2">
        <v>2019</v>
      </c>
    </row>
    <row r="4" spans="1:26" s="8" customFormat="1" x14ac:dyDescent="0.25">
      <c r="A4" s="1">
        <v>740</v>
      </c>
      <c r="B4" s="2">
        <v>3797</v>
      </c>
      <c r="C4" s="3" t="s">
        <v>15</v>
      </c>
      <c r="D4" s="3" t="s">
        <v>9</v>
      </c>
      <c r="E4" s="3" t="s">
        <v>10</v>
      </c>
      <c r="F4" s="3">
        <v>0.02</v>
      </c>
      <c r="G4" s="3"/>
      <c r="H4" s="3"/>
      <c r="I4" s="3">
        <f t="shared" si="0"/>
        <v>298</v>
      </c>
      <c r="J4" s="1">
        <v>740</v>
      </c>
      <c r="K4" s="1"/>
      <c r="L4" s="1"/>
      <c r="M4" s="1"/>
      <c r="N4" s="1"/>
      <c r="O4" s="1"/>
      <c r="P4" s="4">
        <v>460</v>
      </c>
      <c r="Q4" s="5">
        <v>460</v>
      </c>
      <c r="R4" s="5"/>
      <c r="S4" s="5"/>
      <c r="T4" s="5">
        <v>1510</v>
      </c>
      <c r="U4" s="6">
        <v>740</v>
      </c>
      <c r="V4" s="2" t="s">
        <v>16</v>
      </c>
      <c r="W4" s="2" t="s">
        <v>12</v>
      </c>
      <c r="X4" s="7" t="s">
        <v>13</v>
      </c>
      <c r="Y4" s="2" t="s">
        <v>14</v>
      </c>
      <c r="Z4" s="2">
        <v>2019</v>
      </c>
    </row>
    <row r="5" spans="1:26" s="8" customFormat="1" x14ac:dyDescent="0.25">
      <c r="A5" s="1">
        <v>740</v>
      </c>
      <c r="B5" s="2">
        <v>3798</v>
      </c>
      <c r="C5" s="3" t="s">
        <v>17</v>
      </c>
      <c r="D5" s="3" t="s">
        <v>9</v>
      </c>
      <c r="E5" s="3" t="s">
        <v>10</v>
      </c>
      <c r="F5" s="3">
        <v>0.03</v>
      </c>
      <c r="G5" s="3"/>
      <c r="H5" s="3"/>
      <c r="I5" s="3">
        <f t="shared" si="0"/>
        <v>298</v>
      </c>
      <c r="J5" s="1">
        <v>740</v>
      </c>
      <c r="K5" s="1"/>
      <c r="L5" s="1"/>
      <c r="M5" s="1"/>
      <c r="N5" s="1"/>
      <c r="O5" s="1"/>
      <c r="P5" s="4">
        <v>460</v>
      </c>
      <c r="Q5" s="5">
        <v>460</v>
      </c>
      <c r="R5" s="5"/>
      <c r="S5" s="5"/>
      <c r="T5" s="5">
        <v>1450</v>
      </c>
      <c r="U5" s="6">
        <v>740</v>
      </c>
      <c r="V5" s="2" t="s">
        <v>16</v>
      </c>
      <c r="W5" s="2" t="s">
        <v>12</v>
      </c>
      <c r="X5" s="7" t="s">
        <v>13</v>
      </c>
      <c r="Y5" s="2" t="s">
        <v>14</v>
      </c>
      <c r="Z5" s="2">
        <v>2019</v>
      </c>
    </row>
    <row r="6" spans="1:26" s="8" customFormat="1" x14ac:dyDescent="0.25">
      <c r="A6" s="1">
        <v>760</v>
      </c>
      <c r="B6" s="2">
        <v>1534</v>
      </c>
      <c r="C6" s="3" t="s">
        <v>18</v>
      </c>
      <c r="D6" s="3" t="s">
        <v>19</v>
      </c>
      <c r="E6" s="3" t="s">
        <v>3</v>
      </c>
      <c r="F6" s="3">
        <v>0.03</v>
      </c>
      <c r="G6" s="3"/>
      <c r="H6" s="3"/>
      <c r="I6" s="3">
        <f t="shared" si="0"/>
        <v>298</v>
      </c>
      <c r="J6" s="1">
        <v>760</v>
      </c>
      <c r="K6" s="1"/>
      <c r="L6" s="1"/>
      <c r="M6" s="1">
        <v>90.9</v>
      </c>
      <c r="N6" s="1"/>
      <c r="O6" s="1"/>
      <c r="P6" s="4">
        <v>450</v>
      </c>
      <c r="Q6" s="5"/>
      <c r="R6" s="5"/>
      <c r="S6" s="5"/>
      <c r="T6" s="5">
        <v>122000</v>
      </c>
      <c r="U6" s="6"/>
      <c r="V6" s="2" t="s">
        <v>20</v>
      </c>
      <c r="W6" s="2" t="s">
        <v>21</v>
      </c>
      <c r="X6" s="7" t="s">
        <v>22</v>
      </c>
      <c r="Y6" s="2" t="s">
        <v>23</v>
      </c>
      <c r="Z6" s="2">
        <v>2021</v>
      </c>
    </row>
    <row r="7" spans="1:26" s="8" customFormat="1" x14ac:dyDescent="0.25">
      <c r="A7" s="1">
        <v>760</v>
      </c>
      <c r="B7" s="2">
        <v>2648</v>
      </c>
      <c r="C7" s="3" t="s">
        <v>24</v>
      </c>
      <c r="D7" s="3" t="s">
        <v>25</v>
      </c>
      <c r="E7" s="3" t="s">
        <v>3</v>
      </c>
      <c r="F7" s="3">
        <v>0.03</v>
      </c>
      <c r="G7" s="3"/>
      <c r="H7" s="3"/>
      <c r="I7" s="3">
        <f t="shared" si="0"/>
        <v>298</v>
      </c>
      <c r="J7" s="1">
        <v>760</v>
      </c>
      <c r="K7" s="1"/>
      <c r="L7" s="1"/>
      <c r="M7" s="1">
        <v>90.9</v>
      </c>
      <c r="N7" s="1"/>
      <c r="O7" s="1"/>
      <c r="P7" s="4">
        <v>450</v>
      </c>
      <c r="Q7" s="5">
        <v>437</v>
      </c>
      <c r="R7" s="5"/>
      <c r="S7" s="5"/>
      <c r="T7" s="5">
        <v>122000</v>
      </c>
      <c r="U7" s="6">
        <v>713</v>
      </c>
      <c r="V7" s="2" t="s">
        <v>20</v>
      </c>
      <c r="W7" s="2" t="s">
        <v>26</v>
      </c>
      <c r="X7" s="7" t="s">
        <v>22</v>
      </c>
      <c r="Y7" s="2" t="s">
        <v>23</v>
      </c>
      <c r="Z7" s="2">
        <v>2021</v>
      </c>
    </row>
    <row r="8" spans="1:26" s="8" customFormat="1" x14ac:dyDescent="0.25">
      <c r="A8" s="1">
        <v>765</v>
      </c>
      <c r="B8" s="2">
        <v>2664</v>
      </c>
      <c r="C8" s="3" t="s">
        <v>27</v>
      </c>
      <c r="D8" s="3" t="s">
        <v>28</v>
      </c>
      <c r="E8" s="3" t="s">
        <v>3</v>
      </c>
      <c r="F8" s="3">
        <v>0.1</v>
      </c>
      <c r="G8" s="3"/>
      <c r="H8" s="3"/>
      <c r="I8" s="3">
        <f t="shared" si="0"/>
        <v>298</v>
      </c>
      <c r="J8" s="1">
        <v>765</v>
      </c>
      <c r="K8" s="1"/>
      <c r="L8" s="1"/>
      <c r="M8" s="1">
        <v>74</v>
      </c>
      <c r="N8" s="1"/>
      <c r="O8" s="1">
        <v>500</v>
      </c>
      <c r="P8" s="4">
        <v>435</v>
      </c>
      <c r="Q8" s="5">
        <v>435</v>
      </c>
      <c r="R8" s="5"/>
      <c r="S8" s="5"/>
      <c r="T8" s="5"/>
      <c r="U8" s="6">
        <v>765</v>
      </c>
      <c r="V8" s="2" t="s">
        <v>29</v>
      </c>
      <c r="W8" s="2" t="s">
        <v>30</v>
      </c>
      <c r="X8" s="7" t="s">
        <v>31</v>
      </c>
      <c r="Y8" s="2" t="s">
        <v>32</v>
      </c>
      <c r="Z8" s="2">
        <v>2020</v>
      </c>
    </row>
    <row r="9" spans="1:26" s="8" customFormat="1" x14ac:dyDescent="0.25">
      <c r="A9" s="1">
        <v>770</v>
      </c>
      <c r="B9" s="2">
        <v>2716</v>
      </c>
      <c r="C9" s="3" t="s">
        <v>33</v>
      </c>
      <c r="D9" s="3" t="s">
        <v>34</v>
      </c>
      <c r="E9" s="3" t="s">
        <v>3</v>
      </c>
      <c r="F9" s="3">
        <v>0.2</v>
      </c>
      <c r="G9" s="3"/>
      <c r="H9" s="3"/>
      <c r="I9" s="3">
        <f t="shared" si="0"/>
        <v>298</v>
      </c>
      <c r="J9" s="1">
        <v>770</v>
      </c>
      <c r="K9" s="1"/>
      <c r="L9" s="1"/>
      <c r="M9" s="1">
        <v>82.6</v>
      </c>
      <c r="N9" s="1">
        <v>44.5</v>
      </c>
      <c r="O9" s="1">
        <v>560</v>
      </c>
      <c r="P9" s="4">
        <v>410</v>
      </c>
      <c r="Q9" s="5"/>
      <c r="R9" s="5"/>
      <c r="S9" s="5"/>
      <c r="T9" s="5">
        <v>1450000</v>
      </c>
      <c r="U9" s="6">
        <v>770</v>
      </c>
      <c r="V9" s="2" t="s">
        <v>35</v>
      </c>
      <c r="W9" s="2"/>
      <c r="X9" s="7" t="s">
        <v>5</v>
      </c>
      <c r="Y9" s="2" t="s">
        <v>36</v>
      </c>
      <c r="Z9" s="2">
        <v>2020</v>
      </c>
    </row>
    <row r="10" spans="1:26" s="8" customFormat="1" x14ac:dyDescent="0.25">
      <c r="A10" s="1">
        <v>780</v>
      </c>
      <c r="B10" s="2">
        <v>1535</v>
      </c>
      <c r="C10" s="3" t="s">
        <v>37</v>
      </c>
      <c r="D10" s="3" t="s">
        <v>38</v>
      </c>
      <c r="E10" s="3" t="s">
        <v>3</v>
      </c>
      <c r="F10" s="3">
        <v>0.03</v>
      </c>
      <c r="G10" s="3"/>
      <c r="H10" s="3"/>
      <c r="I10" s="3">
        <f t="shared" si="0"/>
        <v>298</v>
      </c>
      <c r="J10" s="1">
        <v>780</v>
      </c>
      <c r="K10" s="1"/>
      <c r="L10" s="1"/>
      <c r="M10" s="1">
        <v>89.3</v>
      </c>
      <c r="N10" s="1"/>
      <c r="O10" s="1">
        <v>473</v>
      </c>
      <c r="P10" s="4">
        <v>450</v>
      </c>
      <c r="Q10" s="5"/>
      <c r="R10" s="5"/>
      <c r="S10" s="5"/>
      <c r="T10" s="5">
        <v>85000</v>
      </c>
      <c r="U10" s="6"/>
      <c r="V10" s="2" t="s">
        <v>20</v>
      </c>
      <c r="W10" s="2" t="s">
        <v>21</v>
      </c>
      <c r="X10" s="7" t="s">
        <v>22</v>
      </c>
      <c r="Y10" s="2" t="s">
        <v>23</v>
      </c>
      <c r="Z10" s="2">
        <v>2021</v>
      </c>
    </row>
    <row r="11" spans="1:26" s="8" customFormat="1" x14ac:dyDescent="0.25">
      <c r="A11" s="1">
        <v>780</v>
      </c>
      <c r="B11" s="2">
        <v>2649</v>
      </c>
      <c r="C11" s="3" t="s">
        <v>39</v>
      </c>
      <c r="D11" s="3" t="s">
        <v>40</v>
      </c>
      <c r="E11" s="3" t="s">
        <v>3</v>
      </c>
      <c r="F11" s="3">
        <v>0.03</v>
      </c>
      <c r="G11" s="3"/>
      <c r="H11" s="3"/>
      <c r="I11" s="3">
        <f t="shared" si="0"/>
        <v>298</v>
      </c>
      <c r="J11" s="1">
        <v>780</v>
      </c>
      <c r="K11" s="1"/>
      <c r="L11" s="1"/>
      <c r="M11" s="1">
        <v>89.3</v>
      </c>
      <c r="N11" s="1"/>
      <c r="O11" s="1">
        <v>473</v>
      </c>
      <c r="P11" s="4">
        <v>450</v>
      </c>
      <c r="Q11" s="5">
        <v>437</v>
      </c>
      <c r="R11" s="5"/>
      <c r="S11" s="5"/>
      <c r="T11" s="5">
        <v>85000</v>
      </c>
      <c r="U11" s="6">
        <v>713</v>
      </c>
      <c r="V11" s="2" t="s">
        <v>20</v>
      </c>
      <c r="W11" s="2" t="s">
        <v>26</v>
      </c>
      <c r="X11" s="7" t="s">
        <v>22</v>
      </c>
      <c r="Y11" s="2" t="s">
        <v>23</v>
      </c>
      <c r="Z11" s="2">
        <v>2021</v>
      </c>
    </row>
    <row r="12" spans="1:26" s="8" customFormat="1" x14ac:dyDescent="0.25">
      <c r="A12" s="1">
        <v>790</v>
      </c>
      <c r="B12" s="2">
        <v>2650</v>
      </c>
      <c r="C12" s="3" t="s">
        <v>41</v>
      </c>
      <c r="D12" s="3" t="s">
        <v>42</v>
      </c>
      <c r="E12" s="3" t="s">
        <v>3</v>
      </c>
      <c r="F12" s="3">
        <v>0.03</v>
      </c>
      <c r="G12" s="3"/>
      <c r="H12" s="3"/>
      <c r="I12" s="3">
        <f t="shared" si="0"/>
        <v>298</v>
      </c>
      <c r="J12" s="1">
        <v>790</v>
      </c>
      <c r="K12" s="1"/>
      <c r="L12" s="1"/>
      <c r="M12" s="1">
        <v>92.2</v>
      </c>
      <c r="N12" s="1"/>
      <c r="O12" s="1"/>
      <c r="P12" s="4">
        <v>450</v>
      </c>
      <c r="Q12" s="5">
        <v>437</v>
      </c>
      <c r="R12" s="5"/>
      <c r="S12" s="5"/>
      <c r="T12" s="5">
        <v>67000</v>
      </c>
      <c r="U12" s="6">
        <v>713</v>
      </c>
      <c r="V12" s="2" t="s">
        <v>20</v>
      </c>
      <c r="W12" s="2" t="s">
        <v>21</v>
      </c>
      <c r="X12" s="7" t="s">
        <v>22</v>
      </c>
      <c r="Y12" s="2" t="s">
        <v>23</v>
      </c>
      <c r="Z12" s="2">
        <v>2021</v>
      </c>
    </row>
    <row r="13" spans="1:26" s="8" customFormat="1" x14ac:dyDescent="0.25">
      <c r="A13" s="1">
        <v>795</v>
      </c>
      <c r="B13" s="2">
        <v>1536</v>
      </c>
      <c r="C13" s="3" t="s">
        <v>43</v>
      </c>
      <c r="D13" s="3" t="s">
        <v>44</v>
      </c>
      <c r="E13" s="3" t="s">
        <v>3</v>
      </c>
      <c r="F13" s="3">
        <v>0.03</v>
      </c>
      <c r="G13" s="3"/>
      <c r="H13" s="3"/>
      <c r="I13" s="3">
        <f t="shared" si="0"/>
        <v>298</v>
      </c>
      <c r="J13" s="1">
        <v>795</v>
      </c>
      <c r="K13" s="1"/>
      <c r="L13" s="1"/>
      <c r="M13" s="1">
        <v>92.2</v>
      </c>
      <c r="N13" s="1"/>
      <c r="O13" s="1"/>
      <c r="P13" s="4">
        <v>450</v>
      </c>
      <c r="Q13" s="5"/>
      <c r="R13" s="5"/>
      <c r="S13" s="5"/>
      <c r="T13" s="5">
        <v>67000</v>
      </c>
      <c r="U13" s="6"/>
      <c r="V13" s="2" t="s">
        <v>20</v>
      </c>
      <c r="W13" s="2" t="s">
        <v>21</v>
      </c>
      <c r="X13" s="7" t="s">
        <v>22</v>
      </c>
      <c r="Y13" s="2" t="s">
        <v>23</v>
      </c>
      <c r="Z13" s="2">
        <v>2021</v>
      </c>
    </row>
    <row r="14" spans="1:26" s="8" customFormat="1" x14ac:dyDescent="0.25">
      <c r="A14" s="1">
        <v>800</v>
      </c>
      <c r="B14" s="2">
        <v>2717</v>
      </c>
      <c r="C14" s="3" t="s">
        <v>45</v>
      </c>
      <c r="D14" s="3" t="s">
        <v>46</v>
      </c>
      <c r="E14" s="3" t="s">
        <v>3</v>
      </c>
      <c r="F14" s="3">
        <v>0.01</v>
      </c>
      <c r="G14" s="3"/>
      <c r="H14" s="3"/>
      <c r="I14" s="3">
        <f t="shared" si="0"/>
        <v>298</v>
      </c>
      <c r="J14" s="1">
        <v>800</v>
      </c>
      <c r="K14" s="1"/>
      <c r="L14" s="1"/>
      <c r="M14" s="1"/>
      <c r="N14" s="1"/>
      <c r="O14" s="1"/>
      <c r="P14" s="4">
        <v>450</v>
      </c>
      <c r="Q14" s="5">
        <v>460</v>
      </c>
      <c r="R14" s="5">
        <v>645</v>
      </c>
      <c r="S14" s="5"/>
      <c r="T14" s="5">
        <v>105000</v>
      </c>
      <c r="U14" s="6">
        <v>800</v>
      </c>
      <c r="V14" s="10" t="s">
        <v>47</v>
      </c>
      <c r="W14" s="2" t="s">
        <v>48</v>
      </c>
      <c r="X14" s="7" t="s">
        <v>49</v>
      </c>
      <c r="Y14" s="2" t="s">
        <v>50</v>
      </c>
      <c r="Z14" s="2">
        <v>2018</v>
      </c>
    </row>
    <row r="15" spans="1:26" s="8" customFormat="1" x14ac:dyDescent="0.25">
      <c r="A15" s="1">
        <v>800</v>
      </c>
      <c r="B15" s="2">
        <v>2718</v>
      </c>
      <c r="C15" s="3" t="s">
        <v>51</v>
      </c>
      <c r="D15" s="3" t="s">
        <v>52</v>
      </c>
      <c r="E15" s="3" t="s">
        <v>3</v>
      </c>
      <c r="F15" s="3">
        <v>0.02</v>
      </c>
      <c r="G15" s="3"/>
      <c r="H15" s="3"/>
      <c r="I15" s="3">
        <f t="shared" si="0"/>
        <v>298</v>
      </c>
      <c r="J15" s="1">
        <v>800</v>
      </c>
      <c r="K15" s="1"/>
      <c r="L15" s="1"/>
      <c r="M15" s="1">
        <v>65</v>
      </c>
      <c r="N15" s="1"/>
      <c r="O15" s="1">
        <v>423</v>
      </c>
      <c r="P15" s="4">
        <v>450</v>
      </c>
      <c r="Q15" s="5">
        <v>460</v>
      </c>
      <c r="R15" s="5">
        <v>645</v>
      </c>
      <c r="S15" s="5"/>
      <c r="T15" s="5">
        <v>94000</v>
      </c>
      <c r="U15" s="6">
        <v>800</v>
      </c>
      <c r="V15" s="2" t="s">
        <v>53</v>
      </c>
      <c r="W15" s="2" t="s">
        <v>48</v>
      </c>
      <c r="X15" s="7" t="s">
        <v>49</v>
      </c>
      <c r="Y15" s="2" t="s">
        <v>50</v>
      </c>
      <c r="Z15" s="2">
        <v>2018</v>
      </c>
    </row>
    <row r="16" spans="1:26" s="8" customFormat="1" x14ac:dyDescent="0.25">
      <c r="A16" s="1">
        <v>800</v>
      </c>
      <c r="B16" s="2">
        <v>2719</v>
      </c>
      <c r="C16" s="3" t="s">
        <v>54</v>
      </c>
      <c r="D16" s="3" t="s">
        <v>55</v>
      </c>
      <c r="E16" s="3" t="s">
        <v>3</v>
      </c>
      <c r="F16" s="3">
        <v>0.03</v>
      </c>
      <c r="G16" s="3"/>
      <c r="H16" s="3"/>
      <c r="I16" s="3">
        <f t="shared" si="0"/>
        <v>298</v>
      </c>
      <c r="J16" s="1">
        <v>800</v>
      </c>
      <c r="K16" s="1"/>
      <c r="L16" s="1"/>
      <c r="M16" s="1"/>
      <c r="N16" s="1"/>
      <c r="O16" s="1"/>
      <c r="P16" s="4">
        <v>450</v>
      </c>
      <c r="Q16" s="5">
        <v>460</v>
      </c>
      <c r="R16" s="5">
        <v>645</v>
      </c>
      <c r="S16" s="5"/>
      <c r="T16" s="5">
        <v>83000</v>
      </c>
      <c r="U16" s="6">
        <v>800</v>
      </c>
      <c r="V16" s="2" t="s">
        <v>53</v>
      </c>
      <c r="W16" s="2" t="s">
        <v>48</v>
      </c>
      <c r="X16" s="7" t="s">
        <v>49</v>
      </c>
      <c r="Y16" s="2" t="s">
        <v>50</v>
      </c>
      <c r="Z16" s="2">
        <v>2018</v>
      </c>
    </row>
    <row r="17" spans="1:26" s="8" customFormat="1" x14ac:dyDescent="0.25">
      <c r="A17" s="1">
        <v>800</v>
      </c>
      <c r="B17" s="2">
        <v>2720</v>
      </c>
      <c r="C17" s="3" t="s">
        <v>56</v>
      </c>
      <c r="D17" s="3" t="s">
        <v>57</v>
      </c>
      <c r="E17" s="3" t="s">
        <v>3</v>
      </c>
      <c r="F17" s="3">
        <v>0.05</v>
      </c>
      <c r="G17" s="3"/>
      <c r="H17" s="3"/>
      <c r="I17" s="3">
        <f t="shared" si="0"/>
        <v>298</v>
      </c>
      <c r="J17" s="1">
        <v>800</v>
      </c>
      <c r="K17" s="1"/>
      <c r="L17" s="1"/>
      <c r="M17" s="1"/>
      <c r="N17" s="1"/>
      <c r="O17" s="1"/>
      <c r="P17" s="4">
        <v>450</v>
      </c>
      <c r="Q17" s="5">
        <v>460</v>
      </c>
      <c r="R17" s="5">
        <v>645</v>
      </c>
      <c r="S17" s="5"/>
      <c r="T17" s="5">
        <v>67000</v>
      </c>
      <c r="U17" s="6">
        <v>800</v>
      </c>
      <c r="V17" s="2" t="s">
        <v>53</v>
      </c>
      <c r="W17" s="2" t="s">
        <v>48</v>
      </c>
      <c r="X17" s="7" t="s">
        <v>49</v>
      </c>
      <c r="Y17" s="2" t="s">
        <v>50</v>
      </c>
      <c r="Z17" s="2">
        <v>2018</v>
      </c>
    </row>
    <row r="18" spans="1:26" s="8" customFormat="1" x14ac:dyDescent="0.25">
      <c r="A18" s="1">
        <v>800</v>
      </c>
      <c r="B18" s="2">
        <v>2721</v>
      </c>
      <c r="C18" s="3" t="s">
        <v>58</v>
      </c>
      <c r="D18" s="3" t="s">
        <v>59</v>
      </c>
      <c r="E18" s="3" t="s">
        <v>3</v>
      </c>
      <c r="F18" s="3">
        <v>0.08</v>
      </c>
      <c r="G18" s="3"/>
      <c r="H18" s="3"/>
      <c r="I18" s="3">
        <f t="shared" si="0"/>
        <v>298</v>
      </c>
      <c r="J18" s="1">
        <v>800</v>
      </c>
      <c r="K18" s="1"/>
      <c r="L18" s="1"/>
      <c r="M18" s="1"/>
      <c r="N18" s="1"/>
      <c r="O18" s="1"/>
      <c r="P18" s="4">
        <v>450</v>
      </c>
      <c r="Q18" s="5">
        <v>460</v>
      </c>
      <c r="R18" s="5">
        <v>645</v>
      </c>
      <c r="S18" s="5"/>
      <c r="T18" s="5">
        <v>41000</v>
      </c>
      <c r="U18" s="6">
        <v>800</v>
      </c>
      <c r="V18" s="2" t="s">
        <v>53</v>
      </c>
      <c r="W18" s="2" t="s">
        <v>48</v>
      </c>
      <c r="X18" s="7" t="s">
        <v>49</v>
      </c>
      <c r="Y18" s="2" t="s">
        <v>50</v>
      </c>
      <c r="Z18" s="2">
        <v>2018</v>
      </c>
    </row>
    <row r="19" spans="1:26" s="8" customFormat="1" x14ac:dyDescent="0.25">
      <c r="A19" s="1">
        <v>805</v>
      </c>
      <c r="B19" s="2">
        <v>2651</v>
      </c>
      <c r="C19" s="3" t="s">
        <v>60</v>
      </c>
      <c r="D19" s="3" t="s">
        <v>61</v>
      </c>
      <c r="E19" s="3" t="s">
        <v>3</v>
      </c>
      <c r="F19" s="3">
        <v>0.03</v>
      </c>
      <c r="G19" s="3"/>
      <c r="H19" s="3"/>
      <c r="I19" s="3">
        <f t="shared" si="0"/>
        <v>298</v>
      </c>
      <c r="J19" s="1">
        <v>805</v>
      </c>
      <c r="K19" s="1"/>
      <c r="L19" s="1"/>
      <c r="M19" s="1">
        <v>87.9</v>
      </c>
      <c r="N19" s="1"/>
      <c r="O19" s="1">
        <v>453</v>
      </c>
      <c r="P19" s="4">
        <v>450</v>
      </c>
      <c r="Q19" s="5">
        <v>437</v>
      </c>
      <c r="R19" s="5"/>
      <c r="S19" s="5"/>
      <c r="T19" s="5">
        <v>64200</v>
      </c>
      <c r="U19" s="6">
        <v>713</v>
      </c>
      <c r="V19" s="2" t="s">
        <v>20</v>
      </c>
      <c r="W19" s="2" t="s">
        <v>21</v>
      </c>
      <c r="X19" s="7" t="s">
        <v>22</v>
      </c>
      <c r="Y19" s="2" t="s">
        <v>23</v>
      </c>
      <c r="Z19" s="2">
        <v>2021</v>
      </c>
    </row>
    <row r="20" spans="1:26" s="8" customFormat="1" x14ac:dyDescent="0.25">
      <c r="A20" s="1">
        <v>815</v>
      </c>
      <c r="B20" s="2">
        <v>1537</v>
      </c>
      <c r="C20" s="3" t="s">
        <v>62</v>
      </c>
      <c r="D20" s="3" t="s">
        <v>63</v>
      </c>
      <c r="E20" s="3" t="s">
        <v>3</v>
      </c>
      <c r="F20" s="3">
        <v>0.03</v>
      </c>
      <c r="G20" s="3"/>
      <c r="H20" s="3"/>
      <c r="I20" s="3">
        <f t="shared" si="0"/>
        <v>298</v>
      </c>
      <c r="J20" s="1">
        <v>815</v>
      </c>
      <c r="K20" s="1"/>
      <c r="L20" s="1"/>
      <c r="M20" s="1">
        <v>87.9</v>
      </c>
      <c r="N20" s="1"/>
      <c r="O20" s="1">
        <v>448</v>
      </c>
      <c r="P20" s="4">
        <v>450</v>
      </c>
      <c r="Q20" s="5"/>
      <c r="R20" s="5"/>
      <c r="S20" s="5"/>
      <c r="T20" s="5">
        <v>64200</v>
      </c>
      <c r="U20" s="6"/>
      <c r="V20" s="2" t="s">
        <v>20</v>
      </c>
      <c r="W20" s="2" t="s">
        <v>21</v>
      </c>
      <c r="X20" s="7" t="s">
        <v>22</v>
      </c>
      <c r="Y20" s="2" t="s">
        <v>23</v>
      </c>
      <c r="Z20" s="2">
        <v>2021</v>
      </c>
    </row>
    <row r="21" spans="1:26" s="8" customFormat="1" x14ac:dyDescent="0.25">
      <c r="A21" s="1">
        <v>820</v>
      </c>
      <c r="B21" s="2">
        <v>1538</v>
      </c>
      <c r="C21" s="3" t="s">
        <v>64</v>
      </c>
      <c r="D21" s="3" t="s">
        <v>65</v>
      </c>
      <c r="E21" s="3" t="s">
        <v>3</v>
      </c>
      <c r="F21" s="3">
        <v>0.03</v>
      </c>
      <c r="G21" s="3"/>
      <c r="H21" s="3"/>
      <c r="I21" s="3">
        <f t="shared" si="0"/>
        <v>298</v>
      </c>
      <c r="J21" s="1">
        <v>820</v>
      </c>
      <c r="K21" s="1"/>
      <c r="L21" s="1"/>
      <c r="M21" s="1">
        <v>71.900000000000006</v>
      </c>
      <c r="N21" s="1"/>
      <c r="O21" s="1"/>
      <c r="P21" s="4">
        <v>450</v>
      </c>
      <c r="Q21" s="5"/>
      <c r="R21" s="5"/>
      <c r="S21" s="5"/>
      <c r="T21" s="5">
        <v>57800</v>
      </c>
      <c r="U21" s="6"/>
      <c r="V21" s="2" t="s">
        <v>20</v>
      </c>
      <c r="W21" s="2" t="s">
        <v>21</v>
      </c>
      <c r="X21" s="7" t="s">
        <v>22</v>
      </c>
      <c r="Y21" s="2" t="s">
        <v>23</v>
      </c>
      <c r="Z21" s="2">
        <v>2021</v>
      </c>
    </row>
    <row r="22" spans="1:26" s="8" customFormat="1" x14ac:dyDescent="0.25">
      <c r="A22" s="1">
        <v>820</v>
      </c>
      <c r="B22" s="2">
        <v>2652</v>
      </c>
      <c r="C22" s="3" t="s">
        <v>66</v>
      </c>
      <c r="D22" s="3" t="s">
        <v>67</v>
      </c>
      <c r="E22" s="3" t="s">
        <v>3</v>
      </c>
      <c r="F22" s="3">
        <v>0.03</v>
      </c>
      <c r="G22" s="3"/>
      <c r="H22" s="3"/>
      <c r="I22" s="3">
        <f t="shared" si="0"/>
        <v>298</v>
      </c>
      <c r="J22" s="1">
        <v>820</v>
      </c>
      <c r="K22" s="1"/>
      <c r="L22" s="1"/>
      <c r="M22" s="1">
        <v>71.900000000000006</v>
      </c>
      <c r="N22" s="1"/>
      <c r="O22" s="1"/>
      <c r="P22" s="4">
        <v>450</v>
      </c>
      <c r="Q22" s="5">
        <v>437</v>
      </c>
      <c r="R22" s="5"/>
      <c r="S22" s="5"/>
      <c r="T22" s="5">
        <v>57800</v>
      </c>
      <c r="U22" s="6">
        <v>713</v>
      </c>
      <c r="V22" s="2" t="s">
        <v>20</v>
      </c>
      <c r="W22" s="2" t="s">
        <v>21</v>
      </c>
      <c r="X22" s="7" t="s">
        <v>22</v>
      </c>
      <c r="Y22" s="2" t="s">
        <v>23</v>
      </c>
      <c r="Z22" s="2">
        <v>2021</v>
      </c>
    </row>
    <row r="23" spans="1:26" s="8" customFormat="1" x14ac:dyDescent="0.25">
      <c r="A23" s="1">
        <v>825</v>
      </c>
      <c r="B23" s="2">
        <v>2646</v>
      </c>
      <c r="C23" s="3" t="s">
        <v>68</v>
      </c>
      <c r="D23" s="3" t="s">
        <v>69</v>
      </c>
      <c r="E23" s="3" t="s">
        <v>3</v>
      </c>
      <c r="F23" s="3">
        <v>0.02</v>
      </c>
      <c r="G23" s="3"/>
      <c r="H23" s="3"/>
      <c r="I23" s="3">
        <f t="shared" si="0"/>
        <v>298</v>
      </c>
      <c r="J23" s="1">
        <v>825</v>
      </c>
      <c r="K23" s="1"/>
      <c r="L23" s="1"/>
      <c r="M23" s="1">
        <v>58</v>
      </c>
      <c r="N23" s="1"/>
      <c r="O23" s="1">
        <v>400</v>
      </c>
      <c r="P23" s="4">
        <v>460</v>
      </c>
      <c r="Q23" s="5">
        <v>460</v>
      </c>
      <c r="R23" s="5"/>
      <c r="S23" s="5"/>
      <c r="T23" s="5"/>
      <c r="U23" s="6">
        <v>825</v>
      </c>
      <c r="V23" s="2" t="s">
        <v>70</v>
      </c>
      <c r="W23" s="2" t="s">
        <v>71</v>
      </c>
      <c r="X23" s="7" t="s">
        <v>5</v>
      </c>
      <c r="Y23" s="2" t="s">
        <v>72</v>
      </c>
      <c r="Z23" s="2">
        <v>2019</v>
      </c>
    </row>
    <row r="24" spans="1:26" s="8" customFormat="1" x14ac:dyDescent="0.25">
      <c r="A24" s="1">
        <v>870</v>
      </c>
      <c r="B24" s="2">
        <v>4388</v>
      </c>
      <c r="C24" s="3" t="s">
        <v>73</v>
      </c>
      <c r="D24" s="3" t="s">
        <v>74</v>
      </c>
      <c r="E24" s="3" t="s">
        <v>3</v>
      </c>
      <c r="F24" s="3">
        <v>0.01</v>
      </c>
      <c r="G24" s="3"/>
      <c r="H24" s="3"/>
      <c r="I24" s="3">
        <v>298</v>
      </c>
      <c r="J24" s="1">
        <v>870</v>
      </c>
      <c r="K24" s="1"/>
      <c r="L24" s="1"/>
      <c r="M24" s="1"/>
      <c r="N24" s="1"/>
      <c r="O24" s="1"/>
      <c r="P24" s="4">
        <v>460</v>
      </c>
      <c r="Q24" s="5"/>
      <c r="R24" s="5"/>
      <c r="S24" s="5"/>
      <c r="T24" s="5">
        <v>48520</v>
      </c>
      <c r="U24" s="6">
        <v>870</v>
      </c>
      <c r="V24" s="11" t="s">
        <v>75</v>
      </c>
      <c r="W24" s="2"/>
      <c r="X24" s="7" t="s">
        <v>5</v>
      </c>
      <c r="Y24" s="2" t="s">
        <v>76</v>
      </c>
      <c r="Z24" s="2">
        <v>2022</v>
      </c>
    </row>
    <row r="25" spans="1:26" s="8" customFormat="1" x14ac:dyDescent="0.25">
      <c r="A25" s="1">
        <v>870</v>
      </c>
      <c r="B25" s="2">
        <v>4389</v>
      </c>
      <c r="C25" s="3" t="s">
        <v>77</v>
      </c>
      <c r="D25" s="3" t="s">
        <v>78</v>
      </c>
      <c r="E25" s="3" t="s">
        <v>3</v>
      </c>
      <c r="F25" s="3">
        <v>0.02</v>
      </c>
      <c r="G25" s="3"/>
      <c r="H25" s="3"/>
      <c r="I25" s="3">
        <v>298</v>
      </c>
      <c r="J25" s="1">
        <v>870</v>
      </c>
      <c r="K25" s="1"/>
      <c r="L25" s="1"/>
      <c r="M25" s="1"/>
      <c r="N25" s="1"/>
      <c r="O25" s="1"/>
      <c r="P25" s="4">
        <v>460</v>
      </c>
      <c r="Q25" s="5"/>
      <c r="R25" s="5"/>
      <c r="S25" s="5"/>
      <c r="T25" s="5">
        <v>46360</v>
      </c>
      <c r="U25" s="6">
        <v>870</v>
      </c>
      <c r="V25" s="11" t="s">
        <v>75</v>
      </c>
      <c r="W25" s="2"/>
      <c r="X25" s="7" t="s">
        <v>5</v>
      </c>
      <c r="Y25" s="2" t="s">
        <v>76</v>
      </c>
      <c r="Z25" s="2">
        <v>2022</v>
      </c>
    </row>
    <row r="26" spans="1:26" s="8" customFormat="1" x14ac:dyDescent="0.25">
      <c r="A26" s="1">
        <v>870</v>
      </c>
      <c r="B26" s="2">
        <v>4390</v>
      </c>
      <c r="C26" s="3" t="s">
        <v>79</v>
      </c>
      <c r="D26" s="3" t="s">
        <v>80</v>
      </c>
      <c r="E26" s="3" t="s">
        <v>3</v>
      </c>
      <c r="F26" s="3">
        <v>0.04</v>
      </c>
      <c r="G26" s="3"/>
      <c r="H26" s="3"/>
      <c r="I26" s="3">
        <v>298</v>
      </c>
      <c r="J26" s="1">
        <v>870</v>
      </c>
      <c r="K26" s="1"/>
      <c r="L26" s="1"/>
      <c r="M26" s="1"/>
      <c r="N26" s="1"/>
      <c r="O26" s="1">
        <v>362</v>
      </c>
      <c r="P26" s="4">
        <v>460</v>
      </c>
      <c r="Q26" s="5">
        <v>710</v>
      </c>
      <c r="R26" s="5">
        <v>480</v>
      </c>
      <c r="S26" s="5"/>
      <c r="T26" s="5">
        <v>41640</v>
      </c>
      <c r="U26" s="6">
        <v>870</v>
      </c>
      <c r="V26" s="11" t="s">
        <v>75</v>
      </c>
      <c r="W26" s="2"/>
      <c r="X26" s="7" t="s">
        <v>5</v>
      </c>
      <c r="Y26" s="2" t="s">
        <v>76</v>
      </c>
      <c r="Z26" s="2">
        <v>2022</v>
      </c>
    </row>
    <row r="27" spans="1:26" s="8" customFormat="1" x14ac:dyDescent="0.25">
      <c r="A27" s="1">
        <v>870</v>
      </c>
      <c r="B27" s="2">
        <v>4391</v>
      </c>
      <c r="C27" s="3" t="s">
        <v>81</v>
      </c>
      <c r="D27" s="3" t="s">
        <v>82</v>
      </c>
      <c r="E27" s="3" t="s">
        <v>3</v>
      </c>
      <c r="F27" s="3">
        <v>0.06</v>
      </c>
      <c r="G27" s="3"/>
      <c r="H27" s="3"/>
      <c r="I27" s="3">
        <v>298</v>
      </c>
      <c r="J27" s="1">
        <v>870</v>
      </c>
      <c r="K27" s="1"/>
      <c r="L27" s="1"/>
      <c r="M27" s="1"/>
      <c r="N27" s="1"/>
      <c r="O27" s="1"/>
      <c r="P27" s="4">
        <v>460</v>
      </c>
      <c r="Q27" s="5"/>
      <c r="R27" s="5"/>
      <c r="S27" s="5"/>
      <c r="T27" s="5">
        <v>38540</v>
      </c>
      <c r="U27" s="6">
        <v>870</v>
      </c>
      <c r="V27" s="11" t="s">
        <v>75</v>
      </c>
      <c r="W27" s="2"/>
      <c r="X27" s="7" t="s">
        <v>5</v>
      </c>
      <c r="Y27" s="2" t="s">
        <v>76</v>
      </c>
      <c r="Z27" s="2">
        <v>2022</v>
      </c>
    </row>
    <row r="28" spans="1:26" s="8" customFormat="1" x14ac:dyDescent="0.25">
      <c r="A28" s="1">
        <v>870</v>
      </c>
      <c r="B28" s="2">
        <v>4392</v>
      </c>
      <c r="C28" s="3" t="s">
        <v>83</v>
      </c>
      <c r="D28" s="3" t="s">
        <v>84</v>
      </c>
      <c r="E28" s="3" t="s">
        <v>3</v>
      </c>
      <c r="F28" s="3">
        <v>0.08</v>
      </c>
      <c r="G28" s="3"/>
      <c r="H28" s="3"/>
      <c r="I28" s="3">
        <v>298</v>
      </c>
      <c r="J28" s="1">
        <v>870</v>
      </c>
      <c r="K28" s="1"/>
      <c r="L28" s="1"/>
      <c r="M28" s="1"/>
      <c r="N28" s="1"/>
      <c r="O28" s="1"/>
      <c r="P28" s="4">
        <v>460</v>
      </c>
      <c r="Q28" s="5"/>
      <c r="R28" s="5"/>
      <c r="S28" s="5"/>
      <c r="T28" s="5">
        <v>36190</v>
      </c>
      <c r="U28" s="6">
        <v>870</v>
      </c>
      <c r="V28" s="11" t="s">
        <v>75</v>
      </c>
      <c r="W28" s="2"/>
      <c r="X28" s="7" t="s">
        <v>5</v>
      </c>
      <c r="Y28" s="2" t="s">
        <v>76</v>
      </c>
      <c r="Z28" s="2">
        <v>2022</v>
      </c>
    </row>
    <row r="29" spans="1:26" s="8" customFormat="1" x14ac:dyDescent="0.25">
      <c r="A29" s="1">
        <v>870</v>
      </c>
      <c r="B29" s="2">
        <v>4393</v>
      </c>
      <c r="C29" s="3" t="s">
        <v>85</v>
      </c>
      <c r="D29" s="3" t="s">
        <v>86</v>
      </c>
      <c r="E29" s="3" t="s">
        <v>3</v>
      </c>
      <c r="F29" s="3">
        <v>0.1</v>
      </c>
      <c r="G29" s="3"/>
      <c r="H29" s="3"/>
      <c r="I29" s="3">
        <v>298</v>
      </c>
      <c r="J29" s="1">
        <v>870</v>
      </c>
      <c r="K29" s="1"/>
      <c r="L29" s="1"/>
      <c r="M29" s="1"/>
      <c r="N29" s="1"/>
      <c r="O29" s="1"/>
      <c r="P29" s="4">
        <v>460</v>
      </c>
      <c r="Q29" s="5"/>
      <c r="R29" s="5"/>
      <c r="S29" s="5"/>
      <c r="T29" s="5">
        <v>34420</v>
      </c>
      <c r="U29" s="6">
        <v>870</v>
      </c>
      <c r="V29" s="11" t="s">
        <v>75</v>
      </c>
      <c r="W29" s="2"/>
      <c r="X29" s="7" t="s">
        <v>5</v>
      </c>
      <c r="Y29" s="2" t="s">
        <v>76</v>
      </c>
      <c r="Z29" s="2">
        <v>2022</v>
      </c>
    </row>
    <row r="30" spans="1:26" s="8" customFormat="1" x14ac:dyDescent="0.25">
      <c r="A30" s="1">
        <v>880</v>
      </c>
      <c r="B30" s="2">
        <v>2633</v>
      </c>
      <c r="C30" s="3" t="s">
        <v>87</v>
      </c>
      <c r="D30" s="3" t="s">
        <v>88</v>
      </c>
      <c r="E30" s="3" t="s">
        <v>3</v>
      </c>
      <c r="F30" s="3">
        <v>0.01</v>
      </c>
      <c r="G30" s="3"/>
      <c r="H30" s="3"/>
      <c r="I30" s="3">
        <f t="shared" ref="I30:I36" si="1">25+273</f>
        <v>298</v>
      </c>
      <c r="J30" s="1">
        <v>880</v>
      </c>
      <c r="K30" s="1"/>
      <c r="L30" s="1"/>
      <c r="M30" s="1">
        <v>53</v>
      </c>
      <c r="N30" s="1"/>
      <c r="O30" s="1">
        <v>361</v>
      </c>
      <c r="P30" s="4">
        <v>450</v>
      </c>
      <c r="Q30" s="5">
        <v>450</v>
      </c>
      <c r="R30" s="5"/>
      <c r="S30" s="5"/>
      <c r="T30" s="5">
        <v>83100</v>
      </c>
      <c r="U30" s="6">
        <v>880</v>
      </c>
      <c r="V30" s="10" t="s">
        <v>89</v>
      </c>
      <c r="W30" s="2" t="s">
        <v>90</v>
      </c>
      <c r="X30" s="7" t="s">
        <v>91</v>
      </c>
      <c r="Y30" s="2" t="s">
        <v>72</v>
      </c>
      <c r="Z30" s="2">
        <v>2020</v>
      </c>
    </row>
    <row r="31" spans="1:26" s="8" customFormat="1" x14ac:dyDescent="0.25">
      <c r="A31" s="1">
        <v>880</v>
      </c>
      <c r="B31" s="2">
        <v>2634</v>
      </c>
      <c r="C31" s="3" t="s">
        <v>92</v>
      </c>
      <c r="D31" s="3" t="s">
        <v>88</v>
      </c>
      <c r="E31" s="3" t="s">
        <v>3</v>
      </c>
      <c r="F31" s="3">
        <v>0.03</v>
      </c>
      <c r="G31" s="3"/>
      <c r="H31" s="3"/>
      <c r="I31" s="3">
        <f t="shared" si="1"/>
        <v>298</v>
      </c>
      <c r="J31" s="1">
        <v>880</v>
      </c>
      <c r="K31" s="1"/>
      <c r="L31" s="1"/>
      <c r="M31" s="1">
        <v>46</v>
      </c>
      <c r="N31" s="1"/>
      <c r="O31" s="1">
        <v>361</v>
      </c>
      <c r="P31" s="4">
        <v>450</v>
      </c>
      <c r="Q31" s="5">
        <v>450</v>
      </c>
      <c r="R31" s="5"/>
      <c r="S31" s="5"/>
      <c r="T31" s="5">
        <v>74600</v>
      </c>
      <c r="U31" s="6">
        <v>880</v>
      </c>
      <c r="V31" s="2" t="s">
        <v>93</v>
      </c>
      <c r="W31" s="2" t="s">
        <v>90</v>
      </c>
      <c r="X31" s="7" t="s">
        <v>91</v>
      </c>
      <c r="Y31" s="2" t="s">
        <v>72</v>
      </c>
      <c r="Z31" s="2">
        <v>2020</v>
      </c>
    </row>
    <row r="32" spans="1:26" s="8" customFormat="1" x14ac:dyDescent="0.25">
      <c r="A32" s="1">
        <v>880</v>
      </c>
      <c r="B32" s="2">
        <v>2635</v>
      </c>
      <c r="C32" s="3" t="s">
        <v>94</v>
      </c>
      <c r="D32" s="3" t="s">
        <v>88</v>
      </c>
      <c r="E32" s="3" t="s">
        <v>3</v>
      </c>
      <c r="F32" s="3">
        <v>0.05</v>
      </c>
      <c r="G32" s="3"/>
      <c r="H32" s="3"/>
      <c r="I32" s="3">
        <f t="shared" si="1"/>
        <v>298</v>
      </c>
      <c r="J32" s="1">
        <v>880</v>
      </c>
      <c r="K32" s="1"/>
      <c r="L32" s="1"/>
      <c r="M32" s="1">
        <v>40.5</v>
      </c>
      <c r="N32" s="1"/>
      <c r="O32" s="1">
        <v>361</v>
      </c>
      <c r="P32" s="4">
        <v>450</v>
      </c>
      <c r="Q32" s="5">
        <v>450</v>
      </c>
      <c r="R32" s="5"/>
      <c r="S32" s="5"/>
      <c r="T32" s="5">
        <v>64000</v>
      </c>
      <c r="U32" s="6">
        <v>880</v>
      </c>
      <c r="V32" s="2" t="s">
        <v>93</v>
      </c>
      <c r="W32" s="2" t="s">
        <v>90</v>
      </c>
      <c r="X32" s="7" t="s">
        <v>91</v>
      </c>
      <c r="Y32" s="2" t="s">
        <v>72</v>
      </c>
      <c r="Z32" s="2">
        <v>2020</v>
      </c>
    </row>
    <row r="33" spans="1:26" s="8" customFormat="1" x14ac:dyDescent="0.25">
      <c r="A33" s="1">
        <v>880</v>
      </c>
      <c r="B33" s="2">
        <v>2636</v>
      </c>
      <c r="C33" s="3" t="s">
        <v>95</v>
      </c>
      <c r="D33" s="3" t="s">
        <v>88</v>
      </c>
      <c r="E33" s="3" t="s">
        <v>3</v>
      </c>
      <c r="F33" s="3">
        <v>0.06</v>
      </c>
      <c r="G33" s="3"/>
      <c r="H33" s="3"/>
      <c r="I33" s="3">
        <f t="shared" si="1"/>
        <v>298</v>
      </c>
      <c r="J33" s="1">
        <v>880</v>
      </c>
      <c r="K33" s="1"/>
      <c r="L33" s="1"/>
      <c r="M33" s="1">
        <v>38</v>
      </c>
      <c r="N33" s="1">
        <v>20</v>
      </c>
      <c r="O33" s="1">
        <v>361</v>
      </c>
      <c r="P33" s="4">
        <v>450</v>
      </c>
      <c r="Q33" s="5">
        <v>450</v>
      </c>
      <c r="R33" s="5">
        <v>650</v>
      </c>
      <c r="S33" s="5"/>
      <c r="T33" s="5">
        <v>59000</v>
      </c>
      <c r="U33" s="6">
        <v>880</v>
      </c>
      <c r="V33" s="2" t="s">
        <v>93</v>
      </c>
      <c r="W33" s="2" t="s">
        <v>90</v>
      </c>
      <c r="X33" s="7" t="s">
        <v>91</v>
      </c>
      <c r="Y33" s="2" t="s">
        <v>72</v>
      </c>
      <c r="Z33" s="2">
        <v>2020</v>
      </c>
    </row>
    <row r="34" spans="1:26" s="8" customFormat="1" x14ac:dyDescent="0.25">
      <c r="A34" s="1">
        <v>880</v>
      </c>
      <c r="B34" s="2">
        <v>2637</v>
      </c>
      <c r="C34" s="3" t="s">
        <v>96</v>
      </c>
      <c r="D34" s="3" t="s">
        <v>88</v>
      </c>
      <c r="E34" s="3" t="s">
        <v>3</v>
      </c>
      <c r="F34" s="3">
        <v>7.0000000000000007E-2</v>
      </c>
      <c r="G34" s="3"/>
      <c r="H34" s="3"/>
      <c r="I34" s="3">
        <f t="shared" si="1"/>
        <v>298</v>
      </c>
      <c r="J34" s="1">
        <v>880</v>
      </c>
      <c r="K34" s="1"/>
      <c r="L34" s="1"/>
      <c r="M34" s="1">
        <v>33.5</v>
      </c>
      <c r="N34" s="1"/>
      <c r="O34" s="1">
        <v>355</v>
      </c>
      <c r="P34" s="4">
        <v>450</v>
      </c>
      <c r="Q34" s="5">
        <v>450</v>
      </c>
      <c r="R34" s="5"/>
      <c r="S34" s="5"/>
      <c r="T34" s="5">
        <v>55900</v>
      </c>
      <c r="U34" s="6">
        <v>880</v>
      </c>
      <c r="V34" s="2" t="s">
        <v>93</v>
      </c>
      <c r="W34" s="2" t="s">
        <v>90</v>
      </c>
      <c r="X34" s="7" t="s">
        <v>91</v>
      </c>
      <c r="Y34" s="2" t="s">
        <v>72</v>
      </c>
      <c r="Z34" s="2">
        <v>2020</v>
      </c>
    </row>
    <row r="35" spans="1:26" s="8" customFormat="1" x14ac:dyDescent="0.25">
      <c r="A35" s="1">
        <v>880</v>
      </c>
      <c r="B35" s="2">
        <v>2638</v>
      </c>
      <c r="C35" s="3" t="s">
        <v>97</v>
      </c>
      <c r="D35" s="3" t="s">
        <v>88</v>
      </c>
      <c r="E35" s="3" t="s">
        <v>3</v>
      </c>
      <c r="F35" s="3">
        <v>0.09</v>
      </c>
      <c r="G35" s="3"/>
      <c r="H35" s="3"/>
      <c r="I35" s="3">
        <f t="shared" si="1"/>
        <v>298</v>
      </c>
      <c r="J35" s="1">
        <v>880</v>
      </c>
      <c r="K35" s="1"/>
      <c r="L35" s="1"/>
      <c r="M35" s="1">
        <v>29.5</v>
      </c>
      <c r="N35" s="1"/>
      <c r="O35" s="1">
        <v>361</v>
      </c>
      <c r="P35" s="4">
        <v>450</v>
      </c>
      <c r="Q35" s="5">
        <v>450</v>
      </c>
      <c r="R35" s="5"/>
      <c r="S35" s="5"/>
      <c r="T35" s="5">
        <v>46800</v>
      </c>
      <c r="U35" s="6">
        <v>880</v>
      </c>
      <c r="V35" s="2" t="s">
        <v>93</v>
      </c>
      <c r="W35" s="2" t="s">
        <v>90</v>
      </c>
      <c r="X35" s="7" t="s">
        <v>91</v>
      </c>
      <c r="Y35" s="2" t="s">
        <v>72</v>
      </c>
      <c r="Z35" s="2">
        <v>2020</v>
      </c>
    </row>
    <row r="36" spans="1:26" s="8" customFormat="1" x14ac:dyDescent="0.25">
      <c r="A36" s="1">
        <v>1001</v>
      </c>
      <c r="B36" s="2">
        <v>2639</v>
      </c>
      <c r="C36" s="3" t="s">
        <v>98</v>
      </c>
      <c r="D36" s="3" t="s">
        <v>88</v>
      </c>
      <c r="E36" s="3" t="s">
        <v>3</v>
      </c>
      <c r="F36" s="3">
        <v>0.06</v>
      </c>
      <c r="G36" s="3" t="s">
        <v>99</v>
      </c>
      <c r="H36" s="3">
        <v>3.0000000000000001E-3</v>
      </c>
      <c r="I36" s="3">
        <f t="shared" si="1"/>
        <v>298</v>
      </c>
      <c r="J36" s="1">
        <v>1001</v>
      </c>
      <c r="K36" s="1"/>
      <c r="L36" s="1"/>
      <c r="M36" s="1">
        <v>45</v>
      </c>
      <c r="N36" s="1">
        <v>24</v>
      </c>
      <c r="O36" s="1">
        <v>373</v>
      </c>
      <c r="P36" s="4">
        <v>450</v>
      </c>
      <c r="Q36" s="5">
        <v>450</v>
      </c>
      <c r="R36" s="5"/>
      <c r="S36" s="5"/>
      <c r="T36" s="5">
        <v>2405700</v>
      </c>
      <c r="U36" s="6">
        <v>1001</v>
      </c>
      <c r="V36" s="2" t="s">
        <v>93</v>
      </c>
      <c r="W36" s="2" t="s">
        <v>90</v>
      </c>
      <c r="X36" s="7" t="s">
        <v>91</v>
      </c>
      <c r="Y36" s="2" t="s">
        <v>72</v>
      </c>
      <c r="Z36" s="2">
        <v>2020</v>
      </c>
    </row>
    <row r="37" spans="1:26" s="8" customFormat="1" x14ac:dyDescent="0.25">
      <c r="A37" s="1">
        <v>1001</v>
      </c>
      <c r="B37" s="2">
        <v>2640</v>
      </c>
      <c r="C37" s="3" t="s">
        <v>98</v>
      </c>
      <c r="D37" s="3" t="s">
        <v>88</v>
      </c>
      <c r="E37" s="3" t="s">
        <v>3</v>
      </c>
      <c r="F37" s="3">
        <v>0.06</v>
      </c>
      <c r="G37" s="3" t="s">
        <v>99</v>
      </c>
      <c r="H37" s="3">
        <v>3.0000000000000001E-3</v>
      </c>
      <c r="I37" s="3">
        <f>75+273</f>
        <v>348</v>
      </c>
      <c r="J37" s="1">
        <v>1001</v>
      </c>
      <c r="K37" s="1"/>
      <c r="L37" s="1"/>
      <c r="M37" s="1"/>
      <c r="N37" s="1"/>
      <c r="O37" s="1"/>
      <c r="P37" s="4">
        <v>450</v>
      </c>
      <c r="Q37" s="5"/>
      <c r="R37" s="5"/>
      <c r="S37" s="5"/>
      <c r="T37" s="5">
        <v>2262100</v>
      </c>
      <c r="U37" s="6">
        <v>1001</v>
      </c>
      <c r="V37" s="2" t="s">
        <v>93</v>
      </c>
      <c r="W37" s="2" t="s">
        <v>90</v>
      </c>
      <c r="X37" s="7" t="s">
        <v>91</v>
      </c>
      <c r="Y37" s="2" t="s">
        <v>72</v>
      </c>
      <c r="Z37" s="2">
        <v>2020</v>
      </c>
    </row>
    <row r="38" spans="1:26" s="8" customFormat="1" x14ac:dyDescent="0.25">
      <c r="A38" s="1">
        <v>1001</v>
      </c>
      <c r="B38" s="2">
        <v>2641</v>
      </c>
      <c r="C38" s="3" t="s">
        <v>98</v>
      </c>
      <c r="D38" s="3" t="s">
        <v>88</v>
      </c>
      <c r="E38" s="3" t="s">
        <v>3</v>
      </c>
      <c r="F38" s="3">
        <v>0.06</v>
      </c>
      <c r="G38" s="3" t="s">
        <v>99</v>
      </c>
      <c r="H38" s="3">
        <v>3.0000000000000001E-3</v>
      </c>
      <c r="I38" s="3">
        <f>125+273</f>
        <v>398</v>
      </c>
      <c r="J38" s="1">
        <v>1001</v>
      </c>
      <c r="K38" s="1"/>
      <c r="L38" s="1"/>
      <c r="M38" s="1"/>
      <c r="N38" s="1"/>
      <c r="O38" s="1"/>
      <c r="P38" s="4">
        <v>450</v>
      </c>
      <c r="Q38" s="5"/>
      <c r="R38" s="5"/>
      <c r="S38" s="5"/>
      <c r="T38" s="5">
        <v>1748300</v>
      </c>
      <c r="U38" s="6">
        <v>1001</v>
      </c>
      <c r="V38" s="2" t="s">
        <v>93</v>
      </c>
      <c r="W38" s="2" t="s">
        <v>90</v>
      </c>
      <c r="X38" s="7" t="s">
        <v>91</v>
      </c>
      <c r="Y38" s="2" t="s">
        <v>72</v>
      </c>
      <c r="Z38" s="2">
        <v>2020</v>
      </c>
    </row>
    <row r="39" spans="1:26" s="8" customFormat="1" x14ac:dyDescent="0.25">
      <c r="A39" s="1">
        <v>1001</v>
      </c>
      <c r="B39" s="2">
        <v>2642</v>
      </c>
      <c r="C39" s="3" t="s">
        <v>100</v>
      </c>
      <c r="D39" s="3" t="s">
        <v>88</v>
      </c>
      <c r="E39" s="3" t="s">
        <v>3</v>
      </c>
      <c r="F39" s="3">
        <v>0.06</v>
      </c>
      <c r="G39" s="3" t="s">
        <v>99</v>
      </c>
      <c r="H39" s="3">
        <v>5.0000000000000001E-3</v>
      </c>
      <c r="I39" s="3">
        <f t="shared" ref="I39:I44" si="2">25+273</f>
        <v>298</v>
      </c>
      <c r="J39" s="1">
        <v>1001</v>
      </c>
      <c r="K39" s="1"/>
      <c r="L39" s="1"/>
      <c r="M39" s="1">
        <v>51</v>
      </c>
      <c r="N39" s="1">
        <v>27</v>
      </c>
      <c r="O39" s="1">
        <v>383</v>
      </c>
      <c r="P39" s="4">
        <v>450</v>
      </c>
      <c r="Q39" s="5">
        <v>450</v>
      </c>
      <c r="R39" s="5"/>
      <c r="S39" s="5"/>
      <c r="T39" s="5">
        <v>2449100</v>
      </c>
      <c r="U39" s="6">
        <v>1001</v>
      </c>
      <c r="V39" s="2" t="s">
        <v>93</v>
      </c>
      <c r="W39" s="2" t="s">
        <v>90</v>
      </c>
      <c r="X39" s="7" t="s">
        <v>91</v>
      </c>
      <c r="Y39" s="2" t="s">
        <v>72</v>
      </c>
      <c r="Z39" s="2">
        <v>2020</v>
      </c>
    </row>
    <row r="40" spans="1:26" s="8" customFormat="1" x14ac:dyDescent="0.25">
      <c r="A40" s="1">
        <v>1001</v>
      </c>
      <c r="B40" s="2">
        <v>2643</v>
      </c>
      <c r="C40" s="3" t="s">
        <v>101</v>
      </c>
      <c r="D40" s="3" t="s">
        <v>88</v>
      </c>
      <c r="E40" s="3" t="s">
        <v>3</v>
      </c>
      <c r="F40" s="3">
        <v>0.06</v>
      </c>
      <c r="G40" s="3" t="s">
        <v>99</v>
      </c>
      <c r="H40" s="3">
        <v>0.01</v>
      </c>
      <c r="I40" s="3">
        <f t="shared" si="2"/>
        <v>298</v>
      </c>
      <c r="J40" s="1">
        <v>1001</v>
      </c>
      <c r="K40" s="1"/>
      <c r="L40" s="1"/>
      <c r="M40" s="1">
        <v>62</v>
      </c>
      <c r="N40" s="1">
        <v>33</v>
      </c>
      <c r="O40" s="1">
        <v>398</v>
      </c>
      <c r="P40" s="4">
        <v>450</v>
      </c>
      <c r="Q40" s="5">
        <v>450</v>
      </c>
      <c r="R40" s="5"/>
      <c r="S40" s="5"/>
      <c r="T40" s="5">
        <v>2461600</v>
      </c>
      <c r="U40" s="6">
        <v>1001</v>
      </c>
      <c r="V40" s="2" t="s">
        <v>89</v>
      </c>
      <c r="W40" s="2" t="s">
        <v>90</v>
      </c>
      <c r="X40" s="7" t="s">
        <v>91</v>
      </c>
      <c r="Y40" s="2" t="s">
        <v>72</v>
      </c>
      <c r="Z40" s="2">
        <v>2020</v>
      </c>
    </row>
    <row r="41" spans="1:26" s="8" customFormat="1" x14ac:dyDescent="0.25">
      <c r="A41" s="1">
        <v>1001</v>
      </c>
      <c r="B41" s="2">
        <v>2644</v>
      </c>
      <c r="C41" s="3" t="s">
        <v>102</v>
      </c>
      <c r="D41" s="3" t="s">
        <v>88</v>
      </c>
      <c r="E41" s="3" t="s">
        <v>3</v>
      </c>
      <c r="F41" s="3">
        <v>0.06</v>
      </c>
      <c r="G41" s="3" t="s">
        <v>99</v>
      </c>
      <c r="H41" s="3">
        <v>0.03</v>
      </c>
      <c r="I41" s="3">
        <f t="shared" si="2"/>
        <v>298</v>
      </c>
      <c r="J41" s="1">
        <v>1001</v>
      </c>
      <c r="K41" s="1"/>
      <c r="L41" s="1"/>
      <c r="M41" s="1">
        <v>74</v>
      </c>
      <c r="N41" s="1">
        <v>39</v>
      </c>
      <c r="O41" s="1">
        <v>418</v>
      </c>
      <c r="P41" s="4">
        <v>450</v>
      </c>
      <c r="Q41" s="5">
        <v>450</v>
      </c>
      <c r="R41" s="5"/>
      <c r="S41" s="5"/>
      <c r="T41" s="5">
        <v>2482000</v>
      </c>
      <c r="U41" s="6">
        <v>1001</v>
      </c>
      <c r="V41" s="2" t="s">
        <v>93</v>
      </c>
      <c r="W41" s="2" t="s">
        <v>90</v>
      </c>
      <c r="X41" s="7" t="s">
        <v>91</v>
      </c>
      <c r="Y41" s="2" t="s">
        <v>72</v>
      </c>
      <c r="Z41" s="2">
        <v>2020</v>
      </c>
    </row>
    <row r="42" spans="1:26" s="8" customFormat="1" x14ac:dyDescent="0.25">
      <c r="A42" s="1">
        <v>1001</v>
      </c>
      <c r="B42" s="2">
        <v>2645</v>
      </c>
      <c r="C42" s="3" t="s">
        <v>103</v>
      </c>
      <c r="D42" s="3" t="s">
        <v>88</v>
      </c>
      <c r="E42" s="3" t="s">
        <v>3</v>
      </c>
      <c r="F42" s="3">
        <v>0.06</v>
      </c>
      <c r="G42" s="3" t="s">
        <v>99</v>
      </c>
      <c r="H42" s="3">
        <v>0.05</v>
      </c>
      <c r="I42" s="3">
        <f t="shared" si="2"/>
        <v>298</v>
      </c>
      <c r="J42" s="1">
        <v>1001</v>
      </c>
      <c r="K42" s="1"/>
      <c r="L42" s="1"/>
      <c r="M42" s="1">
        <v>73</v>
      </c>
      <c r="N42" s="1">
        <v>38</v>
      </c>
      <c r="O42" s="1">
        <v>418</v>
      </c>
      <c r="P42" s="4">
        <v>450</v>
      </c>
      <c r="Q42" s="5">
        <v>450</v>
      </c>
      <c r="R42" s="5"/>
      <c r="S42" s="5"/>
      <c r="T42" s="5">
        <v>2494400</v>
      </c>
      <c r="U42" s="6">
        <v>1001</v>
      </c>
      <c r="V42" s="2" t="s">
        <v>93</v>
      </c>
      <c r="W42" s="2" t="s">
        <v>90</v>
      </c>
      <c r="X42" s="7" t="s">
        <v>91</v>
      </c>
      <c r="Y42" s="2" t="s">
        <v>72</v>
      </c>
      <c r="Z42" s="2">
        <v>2020</v>
      </c>
    </row>
    <row r="43" spans="1:26" s="8" customFormat="1" x14ac:dyDescent="0.25">
      <c r="A43" s="1">
        <v>1120</v>
      </c>
      <c r="B43" s="2">
        <v>2653</v>
      </c>
      <c r="C43" s="3" t="s">
        <v>104</v>
      </c>
      <c r="D43" s="3" t="s">
        <v>105</v>
      </c>
      <c r="E43" s="3" t="s">
        <v>3</v>
      </c>
      <c r="F43" s="3">
        <v>5.0000000000000001E-3</v>
      </c>
      <c r="G43" s="3"/>
      <c r="H43" s="3"/>
      <c r="I43" s="3">
        <f t="shared" si="2"/>
        <v>298</v>
      </c>
      <c r="J43" s="1">
        <v>1120</v>
      </c>
      <c r="K43" s="1"/>
      <c r="L43" s="1"/>
      <c r="M43" s="1"/>
      <c r="N43" s="1"/>
      <c r="O43" s="1"/>
      <c r="P43" s="4">
        <v>476</v>
      </c>
      <c r="Q43" s="5">
        <v>476</v>
      </c>
      <c r="R43" s="5">
        <v>742</v>
      </c>
      <c r="S43" s="5">
        <v>316</v>
      </c>
      <c r="T43" s="5">
        <v>11100</v>
      </c>
      <c r="U43" s="6">
        <v>1120</v>
      </c>
      <c r="V43" s="10" t="s">
        <v>106</v>
      </c>
      <c r="W43" s="2" t="s">
        <v>107</v>
      </c>
      <c r="X43" s="7" t="s">
        <v>108</v>
      </c>
      <c r="Y43" s="2" t="s">
        <v>23</v>
      </c>
      <c r="Z43" s="2">
        <v>2021</v>
      </c>
    </row>
    <row r="44" spans="1:26" s="8" customFormat="1" x14ac:dyDescent="0.25">
      <c r="A44" s="1">
        <v>1120</v>
      </c>
      <c r="B44" s="2">
        <v>2654</v>
      </c>
      <c r="C44" s="3" t="s">
        <v>109</v>
      </c>
      <c r="D44" s="3" t="s">
        <v>105</v>
      </c>
      <c r="E44" s="3" t="s">
        <v>3</v>
      </c>
      <c r="F44" s="3">
        <v>0.01</v>
      </c>
      <c r="G44" s="3"/>
      <c r="H44" s="3"/>
      <c r="I44" s="3">
        <f t="shared" si="2"/>
        <v>298</v>
      </c>
      <c r="J44" s="1">
        <v>1120</v>
      </c>
      <c r="K44" s="1"/>
      <c r="L44" s="1"/>
      <c r="M44" s="1">
        <v>26</v>
      </c>
      <c r="N44" s="1"/>
      <c r="O44" s="1">
        <v>348</v>
      </c>
      <c r="P44" s="4">
        <v>476</v>
      </c>
      <c r="Q44" s="5">
        <v>476</v>
      </c>
      <c r="R44" s="5">
        <v>742</v>
      </c>
      <c r="S44" s="5">
        <v>316</v>
      </c>
      <c r="T44" s="5">
        <v>10310</v>
      </c>
      <c r="U44" s="6">
        <v>1120</v>
      </c>
      <c r="V44" s="2" t="s">
        <v>110</v>
      </c>
      <c r="W44" s="2" t="s">
        <v>107</v>
      </c>
      <c r="X44" s="7" t="s">
        <v>108</v>
      </c>
      <c r="Y44" s="2" t="s">
        <v>23</v>
      </c>
      <c r="Z44" s="2">
        <v>2021</v>
      </c>
    </row>
    <row r="45" spans="1:26" s="8" customFormat="1" x14ac:dyDescent="0.25">
      <c r="A45" s="1">
        <v>1120</v>
      </c>
      <c r="B45" s="2">
        <v>2655</v>
      </c>
      <c r="C45" s="3" t="s">
        <v>109</v>
      </c>
      <c r="D45" s="3" t="s">
        <v>105</v>
      </c>
      <c r="E45" s="3" t="s">
        <v>3</v>
      </c>
      <c r="F45" s="3">
        <v>0.01</v>
      </c>
      <c r="G45" s="3"/>
      <c r="H45" s="3"/>
      <c r="I45" s="3">
        <f>60+273</f>
        <v>333</v>
      </c>
      <c r="J45" s="1">
        <v>1120</v>
      </c>
      <c r="K45" s="1"/>
      <c r="L45" s="1"/>
      <c r="M45" s="1"/>
      <c r="N45" s="1"/>
      <c r="O45" s="1"/>
      <c r="P45" s="4">
        <v>476</v>
      </c>
      <c r="Q45" s="5">
        <v>476</v>
      </c>
      <c r="R45" s="5">
        <v>742</v>
      </c>
      <c r="S45" s="5">
        <v>316</v>
      </c>
      <c r="T45" s="5">
        <v>7540</v>
      </c>
      <c r="U45" s="6">
        <v>1120</v>
      </c>
      <c r="V45" s="2" t="s">
        <v>110</v>
      </c>
      <c r="W45" s="2" t="s">
        <v>107</v>
      </c>
      <c r="X45" s="7" t="s">
        <v>108</v>
      </c>
      <c r="Y45" s="2" t="s">
        <v>23</v>
      </c>
      <c r="Z45" s="2">
        <v>2021</v>
      </c>
    </row>
    <row r="46" spans="1:26" s="8" customFormat="1" x14ac:dyDescent="0.25">
      <c r="A46" s="1">
        <v>1120</v>
      </c>
      <c r="B46" s="2">
        <v>2656</v>
      </c>
      <c r="C46" s="3" t="s">
        <v>109</v>
      </c>
      <c r="D46" s="3" t="s">
        <v>105</v>
      </c>
      <c r="E46" s="3" t="s">
        <v>3</v>
      </c>
      <c r="F46" s="3">
        <v>0.01</v>
      </c>
      <c r="G46" s="3"/>
      <c r="H46" s="3"/>
      <c r="I46" s="3">
        <f>90+273</f>
        <v>363</v>
      </c>
      <c r="J46" s="1">
        <v>1120</v>
      </c>
      <c r="K46" s="1"/>
      <c r="L46" s="1"/>
      <c r="M46" s="1"/>
      <c r="N46" s="1"/>
      <c r="O46" s="1"/>
      <c r="P46" s="4">
        <v>476</v>
      </c>
      <c r="Q46" s="5">
        <v>476</v>
      </c>
      <c r="R46" s="5">
        <v>742</v>
      </c>
      <c r="S46" s="5">
        <v>316</v>
      </c>
      <c r="T46" s="5">
        <v>5070</v>
      </c>
      <c r="U46" s="6">
        <v>1120</v>
      </c>
      <c r="V46" s="2" t="s">
        <v>110</v>
      </c>
      <c r="W46" s="2" t="s">
        <v>107</v>
      </c>
      <c r="X46" s="7" t="s">
        <v>108</v>
      </c>
      <c r="Y46" s="2" t="s">
        <v>23</v>
      </c>
      <c r="Z46" s="2">
        <v>2021</v>
      </c>
    </row>
    <row r="47" spans="1:26" s="8" customFormat="1" x14ac:dyDescent="0.25">
      <c r="A47" s="1">
        <v>1120</v>
      </c>
      <c r="B47" s="2">
        <v>2657</v>
      </c>
      <c r="C47" s="3" t="s">
        <v>109</v>
      </c>
      <c r="D47" s="3" t="s">
        <v>105</v>
      </c>
      <c r="E47" s="3" t="s">
        <v>3</v>
      </c>
      <c r="F47" s="3">
        <v>0.01</v>
      </c>
      <c r="G47" s="3"/>
      <c r="H47" s="3"/>
      <c r="I47" s="3">
        <f>120+273</f>
        <v>393</v>
      </c>
      <c r="J47" s="1">
        <v>1120</v>
      </c>
      <c r="K47" s="1"/>
      <c r="L47" s="1"/>
      <c r="M47" s="1"/>
      <c r="N47" s="1"/>
      <c r="O47" s="1"/>
      <c r="P47" s="4">
        <v>476</v>
      </c>
      <c r="Q47" s="5">
        <v>476</v>
      </c>
      <c r="R47" s="5">
        <v>742</v>
      </c>
      <c r="S47" s="5">
        <v>316</v>
      </c>
      <c r="T47" s="5">
        <v>3530</v>
      </c>
      <c r="U47" s="6">
        <v>1120</v>
      </c>
      <c r="V47" s="2" t="s">
        <v>110</v>
      </c>
      <c r="W47" s="2" t="s">
        <v>107</v>
      </c>
      <c r="X47" s="7" t="s">
        <v>108</v>
      </c>
      <c r="Y47" s="2" t="s">
        <v>23</v>
      </c>
      <c r="Z47" s="2">
        <v>2021</v>
      </c>
    </row>
    <row r="48" spans="1:26" s="8" customFormat="1" x14ac:dyDescent="0.25">
      <c r="A48" s="1">
        <v>1120</v>
      </c>
      <c r="B48" s="2">
        <v>2658</v>
      </c>
      <c r="C48" s="3" t="s">
        <v>109</v>
      </c>
      <c r="D48" s="3" t="s">
        <v>105</v>
      </c>
      <c r="E48" s="3" t="s">
        <v>3</v>
      </c>
      <c r="F48" s="3">
        <v>0.01</v>
      </c>
      <c r="G48" s="3"/>
      <c r="H48" s="3"/>
      <c r="I48" s="3">
        <f>150+273</f>
        <v>423</v>
      </c>
      <c r="J48" s="1">
        <v>1120</v>
      </c>
      <c r="K48" s="1"/>
      <c r="L48" s="1"/>
      <c r="M48" s="1"/>
      <c r="N48" s="1"/>
      <c r="O48" s="1"/>
      <c r="P48" s="4">
        <v>476</v>
      </c>
      <c r="Q48" s="5">
        <v>476</v>
      </c>
      <c r="R48" s="5">
        <v>742</v>
      </c>
      <c r="S48" s="5">
        <v>316</v>
      </c>
      <c r="T48" s="5">
        <v>2300</v>
      </c>
      <c r="U48" s="6">
        <v>1120</v>
      </c>
      <c r="V48" s="2" t="s">
        <v>110</v>
      </c>
      <c r="W48" s="2" t="s">
        <v>107</v>
      </c>
      <c r="X48" s="7" t="s">
        <v>108</v>
      </c>
      <c r="Y48" s="2" t="s">
        <v>23</v>
      </c>
      <c r="Z48" s="2">
        <v>2021</v>
      </c>
    </row>
    <row r="49" spans="1:26" s="8" customFormat="1" x14ac:dyDescent="0.25">
      <c r="A49" s="1">
        <v>1120</v>
      </c>
      <c r="B49" s="2">
        <v>2659</v>
      </c>
      <c r="C49" s="3" t="s">
        <v>109</v>
      </c>
      <c r="D49" s="3" t="s">
        <v>105</v>
      </c>
      <c r="E49" s="3" t="s">
        <v>3</v>
      </c>
      <c r="F49" s="3">
        <v>0.01</v>
      </c>
      <c r="G49" s="3"/>
      <c r="H49" s="3"/>
      <c r="I49" s="3">
        <f>180+273</f>
        <v>453</v>
      </c>
      <c r="J49" s="1">
        <v>1120</v>
      </c>
      <c r="K49" s="1"/>
      <c r="L49" s="1"/>
      <c r="M49" s="1"/>
      <c r="N49" s="1"/>
      <c r="O49" s="1"/>
      <c r="P49" s="4">
        <v>476</v>
      </c>
      <c r="Q49" s="5">
        <v>476</v>
      </c>
      <c r="R49" s="5">
        <v>742</v>
      </c>
      <c r="S49" s="5">
        <v>316</v>
      </c>
      <c r="T49" s="5">
        <v>1520</v>
      </c>
      <c r="U49" s="6">
        <v>1120</v>
      </c>
      <c r="V49" s="2" t="s">
        <v>110</v>
      </c>
      <c r="W49" s="2" t="s">
        <v>107</v>
      </c>
      <c r="X49" s="7" t="s">
        <v>108</v>
      </c>
      <c r="Y49" s="2" t="s">
        <v>23</v>
      </c>
      <c r="Z49" s="2">
        <v>2021</v>
      </c>
    </row>
    <row r="50" spans="1:26" s="8" customFormat="1" x14ac:dyDescent="0.25">
      <c r="A50" s="1">
        <v>1120</v>
      </c>
      <c r="B50" s="2">
        <v>2660</v>
      </c>
      <c r="C50" s="3" t="s">
        <v>109</v>
      </c>
      <c r="D50" s="3" t="s">
        <v>105</v>
      </c>
      <c r="E50" s="3" t="s">
        <v>3</v>
      </c>
      <c r="F50" s="3">
        <v>0.01</v>
      </c>
      <c r="G50" s="3"/>
      <c r="H50" s="3"/>
      <c r="I50" s="3">
        <f>210+273</f>
        <v>483</v>
      </c>
      <c r="J50" s="1">
        <v>1120</v>
      </c>
      <c r="K50" s="1"/>
      <c r="L50" s="1"/>
      <c r="M50" s="1"/>
      <c r="N50" s="1"/>
      <c r="O50" s="1"/>
      <c r="P50" s="4">
        <v>476</v>
      </c>
      <c r="Q50" s="5">
        <v>476</v>
      </c>
      <c r="R50" s="5">
        <v>742</v>
      </c>
      <c r="S50" s="5">
        <v>316</v>
      </c>
      <c r="T50" s="5">
        <v>980</v>
      </c>
      <c r="U50" s="6">
        <v>1120</v>
      </c>
      <c r="V50" s="2" t="s">
        <v>110</v>
      </c>
      <c r="W50" s="2" t="s">
        <v>107</v>
      </c>
      <c r="X50" s="7" t="s">
        <v>108</v>
      </c>
      <c r="Y50" s="2" t="s">
        <v>23</v>
      </c>
      <c r="Z50" s="2">
        <v>2021</v>
      </c>
    </row>
    <row r="51" spans="1:26" s="8" customFormat="1" x14ac:dyDescent="0.25">
      <c r="A51" s="1">
        <v>1120</v>
      </c>
      <c r="B51" s="2">
        <v>2661</v>
      </c>
      <c r="C51" s="3" t="s">
        <v>111</v>
      </c>
      <c r="D51" s="3" t="s">
        <v>105</v>
      </c>
      <c r="E51" s="3" t="s">
        <v>3</v>
      </c>
      <c r="F51" s="3">
        <v>0.02</v>
      </c>
      <c r="G51" s="3"/>
      <c r="H51" s="3"/>
      <c r="I51" s="3">
        <f>25+273</f>
        <v>298</v>
      </c>
      <c r="J51" s="1">
        <v>1120</v>
      </c>
      <c r="K51" s="1"/>
      <c r="L51" s="1"/>
      <c r="M51" s="1"/>
      <c r="N51" s="1"/>
      <c r="O51" s="1"/>
      <c r="P51" s="4">
        <v>476</v>
      </c>
      <c r="Q51" s="5">
        <v>476</v>
      </c>
      <c r="R51" s="5">
        <v>742</v>
      </c>
      <c r="S51" s="5">
        <v>316</v>
      </c>
      <c r="T51" s="5">
        <v>9160</v>
      </c>
      <c r="U51" s="6">
        <v>1120</v>
      </c>
      <c r="V51" s="2" t="s">
        <v>110</v>
      </c>
      <c r="W51" s="2" t="s">
        <v>107</v>
      </c>
      <c r="X51" s="7" t="s">
        <v>108</v>
      </c>
      <c r="Y51" s="2" t="s">
        <v>23</v>
      </c>
      <c r="Z51" s="2">
        <v>2021</v>
      </c>
    </row>
    <row r="52" spans="1:26" s="8" customFormat="1" x14ac:dyDescent="0.25">
      <c r="A52" s="1">
        <v>1120</v>
      </c>
      <c r="B52" s="2">
        <v>2662</v>
      </c>
      <c r="C52" s="3" t="s">
        <v>112</v>
      </c>
      <c r="D52" s="3" t="s">
        <v>105</v>
      </c>
      <c r="E52" s="3" t="s">
        <v>3</v>
      </c>
      <c r="F52" s="3">
        <v>0.03</v>
      </c>
      <c r="G52" s="3"/>
      <c r="H52" s="3"/>
      <c r="I52" s="3">
        <f>25+273</f>
        <v>298</v>
      </c>
      <c r="J52" s="1">
        <v>1120</v>
      </c>
      <c r="K52" s="1"/>
      <c r="L52" s="1"/>
      <c r="M52" s="1"/>
      <c r="N52" s="1"/>
      <c r="O52" s="1"/>
      <c r="P52" s="4">
        <v>476</v>
      </c>
      <c r="Q52" s="5">
        <v>476</v>
      </c>
      <c r="R52" s="5">
        <v>742</v>
      </c>
      <c r="S52" s="5">
        <v>316</v>
      </c>
      <c r="T52" s="5">
        <v>8200</v>
      </c>
      <c r="U52" s="6">
        <v>1120</v>
      </c>
      <c r="V52" s="2" t="s">
        <v>110</v>
      </c>
      <c r="W52" s="2" t="s">
        <v>107</v>
      </c>
      <c r="X52" s="7" t="s">
        <v>108</v>
      </c>
      <c r="Y52" s="2" t="s">
        <v>23</v>
      </c>
      <c r="Z52" s="2">
        <v>2021</v>
      </c>
    </row>
    <row r="53" spans="1:26" s="8" customFormat="1" x14ac:dyDescent="0.25">
      <c r="A53" s="1">
        <v>1120</v>
      </c>
      <c r="B53" s="2">
        <v>2663</v>
      </c>
      <c r="C53" s="3" t="s">
        <v>113</v>
      </c>
      <c r="D53" s="3" t="s">
        <v>105</v>
      </c>
      <c r="E53" s="3" t="s">
        <v>3</v>
      </c>
      <c r="F53" s="3">
        <v>0.05</v>
      </c>
      <c r="G53" s="3"/>
      <c r="H53" s="3"/>
      <c r="I53" s="3">
        <f>25+273</f>
        <v>298</v>
      </c>
      <c r="J53" s="1">
        <v>1120</v>
      </c>
      <c r="K53" s="1"/>
      <c r="L53" s="1"/>
      <c r="M53" s="1"/>
      <c r="N53" s="1"/>
      <c r="O53" s="1"/>
      <c r="P53" s="4">
        <v>476</v>
      </c>
      <c r="Q53" s="5">
        <v>476</v>
      </c>
      <c r="R53" s="5">
        <v>742</v>
      </c>
      <c r="S53" s="5">
        <v>316</v>
      </c>
      <c r="T53" s="5">
        <v>8029.9999999999991</v>
      </c>
      <c r="U53" s="6">
        <v>1120</v>
      </c>
      <c r="V53" s="2" t="s">
        <v>110</v>
      </c>
      <c r="W53" s="2" t="s">
        <v>107</v>
      </c>
      <c r="X53" s="7" t="s">
        <v>108</v>
      </c>
      <c r="Y53" s="2" t="s">
        <v>23</v>
      </c>
      <c r="Z53" s="2">
        <v>2021</v>
      </c>
    </row>
  </sheetData>
  <phoneticPr fontId="4" type="noConversion"/>
  <hyperlinks>
    <hyperlink ref="BJT1:SWP53" r:id="rId1" display="https://doi.org/10.1111/jace.16644" xr:uid="{458A7DEB-0206-43F8-90BD-12B0C5A92944}"/>
    <hyperlink ref="V3" r:id="rId2" xr:uid="{07A02184-E35A-4933-808F-6F4B94FE397E}"/>
    <hyperlink ref="V30" r:id="rId3" xr:uid="{ED7FAF61-A6C4-4778-AB6C-80759A6B71D6}"/>
    <hyperlink ref="V43" r:id="rId4" xr:uid="{36C6EE4F-ABBD-43C5-8FF5-A5A5390A23F0}"/>
    <hyperlink ref="V14" r:id="rId5" xr:uid="{6040A86D-575F-4A40-9E30-F4763AE98BD1}"/>
    <hyperlink ref="V24" r:id="rId6" xr:uid="{51DCC279-9788-4FD4-8998-A4F2937F4737}"/>
    <hyperlink ref="V25" r:id="rId7" xr:uid="{DDABB3FE-2B63-40BE-A502-BA6DA799324B}"/>
    <hyperlink ref="V26" r:id="rId8" xr:uid="{A9795EEA-04CB-4FEF-8CE9-E01180C85AC8}"/>
    <hyperlink ref="V27" r:id="rId9" xr:uid="{D5C47037-E3A6-4E25-B199-87034E481696}"/>
    <hyperlink ref="V28" r:id="rId10" xr:uid="{5CED4898-495F-4453-AECE-9324699F7C79}"/>
    <hyperlink ref="V29" r:id="rId11" xr:uid="{01531399-57D1-4A95-943F-E6A85D0B6C7F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